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elmaxeiner/Nextcloud/Dokumente/Studium/5_Semester/Praxisnachbereitung/praxisnachbereitung/"/>
    </mc:Choice>
  </mc:AlternateContent>
  <xr:revisionPtr revIDLastSave="0" documentId="8_{413676E4-4D7A-9A4C-81FC-1033C609D3AA}" xr6:coauthVersionLast="47" xr6:coauthVersionMax="47" xr10:uidLastSave="{00000000-0000-0000-0000-000000000000}"/>
  <bookViews>
    <workbookView xWindow="0" yWindow="660" windowWidth="30240" windowHeight="17740" activeTab="4" xr2:uid="{6B268D16-A544-AE4E-B4BB-A243F5BDADB2}"/>
  </bookViews>
  <sheets>
    <sheet name="Ausleihen" sheetId="5" r:id="rId1"/>
    <sheet name="Geraete" sheetId="6" r:id="rId2"/>
    <sheet name="Mitarbeiter" sheetId="4" r:id="rId3"/>
    <sheet name="Tabelle3" sheetId="8" r:id="rId4"/>
    <sheet name="Gesamt" sheetId="1" r:id="rId5"/>
  </sheets>
  <definedNames>
    <definedName name="ExterneDaten_1" localSheetId="0" hidden="1">Ausleihen!$A$1:$D$46</definedName>
    <definedName name="ExterneDaten_1" localSheetId="1" hidden="1">Geraete!$A$1:$F$36</definedName>
    <definedName name="ExterneDaten_1" localSheetId="2" hidden="1">Mitarbeiter!$A$1:$E$13</definedName>
  </definedNames>
  <calcPr calcId="18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" i="5" l="1"/>
  <c r="L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J2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F2" i="5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I2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E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4DB99BA-A6D0-164B-BE45-0D07003F0F2F}" keepAlive="1" name="Abfrage - Ausleihen" description="Verbindung mit der Abfrage 'Ausleihen' in der Arbeitsmappe." type="5" refreshedVersion="0" background="1">
    <dbPr connection="Provider=Microsoft.Mashup.OleDb.1;Data Source=$Workbook$;Location=Ausleihen;Extended Properties=&quot;&quot;" command="SELECT * FROM [Ausleihen]"/>
  </connection>
  <connection id="2" xr16:uid="{586441CE-AA2E-B046-B7ED-2E5490DECC0C}" keepAlive="1" name="Abfrage - Ausleihen (2)" description="Verbindung mit der Abfrage 'Ausleihen (2)' in der Arbeitsmappe." type="5" refreshedVersion="8" background="1" saveData="1">
    <dbPr connection="Provider=Microsoft.Mashup.OleDb.1;Data Source=$Workbook$;Location=&quot;Ausleihen (2)&quot;;Extended Properties=&quot;&quot;" command="SELECT * FROM [Ausleihen (2)]"/>
  </connection>
  <connection id="3" xr16:uid="{A1190890-0C3D-5840-BD03-3AD68A4E754B}" keepAlive="1" name="Abfrage - Geraete" description="Verbindung mit der Abfrage 'Geraete' in der Arbeitsmappe." type="5" refreshedVersion="8" background="1" saveData="1">
    <dbPr connection="Provider=Microsoft.Mashup.OleDb.1;Data Source=$Workbook$;Location=Geraete;Extended Properties=&quot;&quot;" command="SELECT * FROM [Geraete]"/>
  </connection>
  <connection id="4" xr16:uid="{52CC9C03-FADC-9D4B-89E0-6A95BC818C59}" keepAlive="1" name="Abfrage - Geraete (2)" description="Verbindung mit der Abfrage 'Geraete (2)' in der Arbeitsmappe." type="5" refreshedVersion="8" background="1" saveData="1">
    <dbPr connection="Provider=Microsoft.Mashup.OleDb.1;Data Source=$Workbook$;Location=&quot;Geraete (2)&quot;;Extended Properties=&quot;&quot;" command="SELECT * FROM [Geraete (2)]"/>
  </connection>
  <connection id="5" xr16:uid="{68303663-5301-5343-9515-3F5C0359C0CF}" keepAlive="1" name="Abfrage - Mitarbeiter" description="Verbindung mit der Abfrage 'Mitarbeiter' in der Arbeitsmappe." type="5" refreshedVersion="8" background="1" saveData="1">
    <dbPr connection="Provider=Microsoft.Mashup.OleDb.1;Data Source=$Workbook$;Location=Mitarbeiter;Extended Properties=&quot;&quot;" command="SELECT * FROM [Mitarbeiter]"/>
  </connection>
</connections>
</file>

<file path=xl/sharedStrings.xml><?xml version="1.0" encoding="utf-8"?>
<sst xmlns="http://schemas.openxmlformats.org/spreadsheetml/2006/main" count="677" uniqueCount="105">
  <si>
    <t>Gerätenummer</t>
  </si>
  <si>
    <t>Mitarbeiter-ID</t>
  </si>
  <si>
    <t>Ausgabe am</t>
  </si>
  <si>
    <t>Rückgabe am</t>
  </si>
  <si>
    <t>G0035</t>
  </si>
  <si>
    <t>G0021</t>
  </si>
  <si>
    <t>G0024</t>
  </si>
  <si>
    <t>G0016</t>
  </si>
  <si>
    <t>G0006</t>
  </si>
  <si>
    <t>G0005</t>
  </si>
  <si>
    <t>G0009</t>
  </si>
  <si>
    <t>G0011</t>
  </si>
  <si>
    <t>G0028</t>
  </si>
  <si>
    <t>G0013</t>
  </si>
  <si>
    <t>G0029</t>
  </si>
  <si>
    <t>G0015</t>
  </si>
  <si>
    <t>G0022</t>
  </si>
  <si>
    <t>G0018</t>
  </si>
  <si>
    <t>G0031</t>
  </si>
  <si>
    <t>G0027</t>
  </si>
  <si>
    <t>G0030</t>
  </si>
  <si>
    <t>G0007</t>
  </si>
  <si>
    <t>G0004</t>
  </si>
  <si>
    <t>G0025</t>
  </si>
  <si>
    <t>G0032</t>
  </si>
  <si>
    <t>G0014</t>
  </si>
  <si>
    <t>G0033</t>
  </si>
  <si>
    <t>Gerätetyp</t>
  </si>
  <si>
    <t>Modell</t>
  </si>
  <si>
    <t>Kaufdatum</t>
  </si>
  <si>
    <t>Netto-Kaufpreis</t>
  </si>
  <si>
    <t>Standort</t>
  </si>
  <si>
    <t>G0001</t>
  </si>
  <si>
    <t>Tablet</t>
  </si>
  <si>
    <t>Galaxy Tab</t>
  </si>
  <si>
    <t>Berlin</t>
  </si>
  <si>
    <t>G0002</t>
  </si>
  <si>
    <t>Surface Go</t>
  </si>
  <si>
    <t>München</t>
  </si>
  <si>
    <t>G0003</t>
  </si>
  <si>
    <t>iPad</t>
  </si>
  <si>
    <t>Laptop</t>
  </si>
  <si>
    <t>Dell XPS</t>
  </si>
  <si>
    <t>Drucker</t>
  </si>
  <si>
    <t>Canon Pixma</t>
  </si>
  <si>
    <t>Smartphone</t>
  </si>
  <si>
    <t>Samsung S21</t>
  </si>
  <si>
    <t>Lenovo ThinkPad</t>
  </si>
  <si>
    <t>Hamburg</t>
  </si>
  <si>
    <t>G0008</t>
  </si>
  <si>
    <t>Beamer</t>
  </si>
  <si>
    <t>Epson EB</t>
  </si>
  <si>
    <t>G0010</t>
  </si>
  <si>
    <t>Brother HL</t>
  </si>
  <si>
    <t>G0012</t>
  </si>
  <si>
    <t>iPhone 13</t>
  </si>
  <si>
    <t>G0017</t>
  </si>
  <si>
    <t>G0019</t>
  </si>
  <si>
    <t>HP LaserJet</t>
  </si>
  <si>
    <t>G0020</t>
  </si>
  <si>
    <t>Monitor</t>
  </si>
  <si>
    <t>Samsung Curved</t>
  </si>
  <si>
    <t>G0023</t>
  </si>
  <si>
    <t>Dell UltraSharp</t>
  </si>
  <si>
    <t>G0026</t>
  </si>
  <si>
    <t>HP EliteBook</t>
  </si>
  <si>
    <t>BenQ MW550</t>
  </si>
  <si>
    <t>G0034</t>
  </si>
  <si>
    <t>Name</t>
  </si>
  <si>
    <t>Abteilung</t>
  </si>
  <si>
    <t>Aleksandr Weinhage</t>
  </si>
  <si>
    <t>IT</t>
  </si>
  <si>
    <t>Eleni Hauffer</t>
  </si>
  <si>
    <t>Paul Dobes-Stiffel</t>
  </si>
  <si>
    <t>Produktion</t>
  </si>
  <si>
    <t>Klemens Löffler</t>
  </si>
  <si>
    <t>Vertrieb</t>
  </si>
  <si>
    <t>Alexandre Davids</t>
  </si>
  <si>
    <t>Eric Patberg B.Sc.</t>
  </si>
  <si>
    <t>Orhan Siering MBA.</t>
  </si>
  <si>
    <t>Dipl.-Ing. Klaus-Werner Holsten B.Sc.</t>
  </si>
  <si>
    <t>Univ.Prof. Heimo Karge</t>
  </si>
  <si>
    <t>Marketing</t>
  </si>
  <si>
    <t>Carolin Hande</t>
  </si>
  <si>
    <t>Auguste Davids</t>
  </si>
  <si>
    <t>Ariane Klemt-Kaul</t>
  </si>
  <si>
    <t>1009</t>
  </si>
  <si>
    <t>1008</t>
  </si>
  <si>
    <t>1005</t>
  </si>
  <si>
    <t>1010</t>
  </si>
  <si>
    <t>1012</t>
  </si>
  <si>
    <t>1011</t>
  </si>
  <si>
    <t>1004</t>
  </si>
  <si>
    <t>1002</t>
  </si>
  <si>
    <t>1006</t>
  </si>
  <si>
    <t>1003</t>
  </si>
  <si>
    <t>1001</t>
  </si>
  <si>
    <t>1007</t>
  </si>
  <si>
    <t>Index</t>
  </si>
  <si>
    <r>
      <t>Netto-Kau</t>
    </r>
    <r>
      <rPr>
        <sz val="12"/>
        <color theme="1"/>
        <rFont val="Aptos Narrow"/>
        <family val="2"/>
        <scheme val="minor"/>
      </rPr>
      <t>preis</t>
    </r>
  </si>
  <si>
    <t>Standort_MA</t>
  </si>
  <si>
    <t>Netto-Kaupreis</t>
  </si>
  <si>
    <t>Zeilenbeschriftungen</t>
  </si>
  <si>
    <t>Gesamtergebnis</t>
  </si>
  <si>
    <t>(Mehrere Elemente)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</si>
</sst>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70" formatCode="#,##0.00\ _€"/>
  </numFmts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14" fontId="0" fillId="0" borderId="0" xfId="0" applyNumberFormat="1"/>
    <xf numFmtId="164" fontId="0" fillId="0" borderId="0" xfId="0" applyNumberFormat="1"/>
    <xf numFmtId="170" fontId="0" fillId="0" borderId="0" xfId="0" applyNumberFormat="1"/>
    <xf numFmtId="49" fontId="0" fillId="0" borderId="0" xfId="0" applyNumberFormat="1" applyAlignment="1">
      <alignment horizontal="left"/>
    </xf>
    <xf numFmtId="49" fontId="0" fillId="0" borderId="0" xfId="0" applyNumberFormat="1" applyAlignme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Standard" xfId="0" builtinId="0"/>
  </cellStyles>
  <dxfs count="26">
    <dxf>
      <numFmt numFmtId="164" formatCode="#,##0.00\ &quot;€&quot;"/>
    </dxf>
    <dxf>
      <numFmt numFmtId="19" formatCode="dd/mm/yy"/>
    </dxf>
    <dxf>
      <numFmt numFmtId="19" formatCode="dd/mm/yy"/>
    </dxf>
    <dxf>
      <numFmt numFmtId="19" formatCode="dd/mm/yy"/>
    </dxf>
    <dxf>
      <numFmt numFmtId="0" formatCode="General"/>
    </dxf>
    <dxf>
      <numFmt numFmtId="30" formatCode="@"/>
      <alignment horizontal="left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70" formatCode="#,##0.00\ _€"/>
    </dxf>
    <dxf>
      <numFmt numFmtId="170" formatCode="#,##0.00\ _€"/>
    </dxf>
    <dxf>
      <numFmt numFmtId="19" formatCode="dd/mm/yy"/>
    </dxf>
    <dxf>
      <numFmt numFmtId="0" formatCode="General"/>
    </dxf>
    <dxf>
      <numFmt numFmtId="0" formatCode="General"/>
    </dxf>
    <dxf>
      <numFmt numFmtId="19" formatCode="dd/mm/yy"/>
    </dxf>
    <dxf>
      <numFmt numFmtId="164" formatCode="#,##0.00\ &quot;€&quot;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305.560264930558" createdVersion="8" refreshedVersion="8" minRefreshableVersion="3" recordCount="45" xr:uid="{1AD4FB5F-B8BF-1A42-A2D3-21E76614F4A2}">
  <cacheSource type="worksheet">
    <worksheetSource name="Tabelle1"/>
  </cacheSource>
  <cacheFields count="18">
    <cacheField name="Gerätenummer" numFmtId="0">
      <sharedItems count="23">
        <s v="G0035"/>
        <s v="G0021"/>
        <s v="G0024"/>
        <s v="G0016"/>
        <s v="G0006"/>
        <s v="G0005"/>
        <s v="G0009"/>
        <s v="G0011"/>
        <s v="G0028"/>
        <s v="G0013"/>
        <s v="G0029"/>
        <s v="G0015"/>
        <s v="G0022"/>
        <s v="G0018"/>
        <s v="G0031"/>
        <s v="G0027"/>
        <s v="G0030"/>
        <s v="G0007"/>
        <s v="G0004"/>
        <s v="G0025"/>
        <s v="G0032"/>
        <s v="G0014"/>
        <s v="G0033"/>
      </sharedItems>
    </cacheField>
    <cacheField name="Mitarbeiter-ID" numFmtId="0">
      <sharedItems/>
    </cacheField>
    <cacheField name="Ausgabe am" numFmtId="14">
      <sharedItems containsSemiMixedTypes="0" containsNonDate="0" containsDate="1" containsString="0" minDate="2023-12-01T00:00:00" maxDate="2025-10-01T00:00:00"/>
    </cacheField>
    <cacheField name="Rückgabe am" numFmtId="14">
      <sharedItems containsNonDate="0" containsDate="1" containsString="0" containsBlank="1" minDate="2024-06-27T00:00:00" maxDate="2025-10-06T00:00:00" count="30">
        <m/>
        <d v="2025-10-05T00:00:00"/>
        <d v="2025-07-30T00:00:00"/>
        <d v="2025-06-10T00:00:00"/>
        <d v="2025-07-15T00:00:00"/>
        <d v="2025-08-29T00:00:00"/>
        <d v="2024-06-27T00:00:00"/>
        <d v="2025-10-04T00:00:00"/>
        <d v="2025-09-22T00:00:00"/>
        <d v="2025-08-17T00:00:00"/>
        <d v="2025-09-30T00:00:00"/>
        <d v="2024-11-27T00:00:00"/>
        <d v="2025-07-01T00:00:00"/>
        <d v="2025-03-16T00:00:00"/>
        <d v="2025-09-05T00:00:00"/>
        <d v="2025-07-16T00:00:00"/>
        <d v="2025-01-06T00:00:00"/>
        <d v="2025-02-26T00:00:00"/>
        <d v="2024-12-04T00:00:00"/>
        <d v="2025-05-31T00:00:00"/>
        <d v="2025-06-09T00:00:00"/>
        <d v="2025-09-08T00:00:00"/>
        <d v="2024-09-24T00:00:00"/>
        <d v="2025-08-02T00:00:00"/>
        <d v="2025-03-03T00:00:00"/>
        <d v="2025-08-12T00:00:00"/>
        <d v="2025-05-07T00:00:00"/>
        <d v="2025-09-25T00:00:00"/>
        <d v="2025-07-08T00:00:00"/>
        <d v="2025-10-02T00:00:00"/>
      </sharedItems>
      <fieldGroup par="14"/>
    </cacheField>
    <cacheField name="Gerätetyp" numFmtId="0">
      <sharedItems/>
    </cacheField>
    <cacheField name="Modell" numFmtId="0">
      <sharedItems/>
    </cacheField>
    <cacheField name="Kaufdatum" numFmtId="14">
      <sharedItems containsSemiMixedTypes="0" containsNonDate="0" containsDate="1" containsString="0" minDate="2021-03-03T00:00:00" maxDate="2025-09-10T00:00:00" count="23">
        <d v="2024-01-03T00:00:00"/>
        <d v="2023-02-22T00:00:00"/>
        <d v="2022-03-01T00:00:00"/>
        <d v="2023-03-30T00:00:00"/>
        <d v="2024-01-01T00:00:00"/>
        <d v="2021-11-03T00:00:00"/>
        <d v="2023-04-10T00:00:00"/>
        <d v="2025-09-09T00:00:00"/>
        <d v="2023-01-19T00:00:00"/>
        <d v="2021-05-16T00:00:00"/>
        <d v="2021-05-21T00:00:00"/>
        <d v="2022-09-20T00:00:00"/>
        <d v="2024-08-20T00:00:00"/>
        <d v="2022-10-05T00:00:00"/>
        <d v="2025-04-28T00:00:00"/>
        <d v="2022-07-24T00:00:00"/>
        <d v="2022-03-27T00:00:00"/>
        <d v="2021-06-13T00:00:00"/>
        <d v="2025-05-05T00:00:00"/>
        <d v="2023-12-06T00:00:00"/>
        <d v="2022-11-11T00:00:00"/>
        <d v="2021-03-03T00:00:00"/>
        <d v="2022-03-03T00:00:00"/>
      </sharedItems>
      <fieldGroup par="17"/>
    </cacheField>
    <cacheField name="Netto-Kaupreis" numFmtId="164">
      <sharedItems containsSemiMixedTypes="0" containsString="0" containsNumber="1" containsInteger="1" minValue="14171" maxValue="189865"/>
    </cacheField>
    <cacheField name="Standort" numFmtId="0">
      <sharedItems/>
    </cacheField>
    <cacheField name="Name" numFmtId="0">
      <sharedItems/>
    </cacheField>
    <cacheField name="Abteilung" numFmtId="0">
      <sharedItems/>
    </cacheField>
    <cacheField name="Standort_MA" numFmtId="0">
      <sharedItems/>
    </cacheField>
    <cacheField name="Monate (Rückgabe am)" numFmtId="0" databaseField="0">
      <fieldGroup base="3">
        <rangePr groupBy="months" startDate="2024-06-27T00:00:00" endDate="2025-10-06T00:00:00"/>
        <groupItems count="14">
          <s v="&lt;27.06.24"/>
          <s v="Jan"/>
          <s v="Feb"/>
          <s v="Mär"/>
          <s v="Apr"/>
          <s v="Mai"/>
          <s v="Jun"/>
          <s v="Jul"/>
          <s v="Aug"/>
          <s v="Sep"/>
          <s v="Okt"/>
          <s v="Nov"/>
          <s v="Dez"/>
          <s v="&gt;06.10.25"/>
        </groupItems>
      </fieldGroup>
    </cacheField>
    <cacheField name="Quartale (Rückgabe am)" numFmtId="0" databaseField="0">
      <fieldGroup base="3">
        <rangePr groupBy="quarters" startDate="2024-06-27T00:00:00" endDate="2025-10-06T00:00:00"/>
        <groupItems count="6">
          <s v="&lt;27.06.24"/>
          <s v="Qrtl1"/>
          <s v="Qrtl2"/>
          <s v="Qrtl3"/>
          <s v="Qrtl4"/>
          <s v="&gt;06.10.25"/>
        </groupItems>
      </fieldGroup>
    </cacheField>
    <cacheField name="Jahre (Rückgabe am)" numFmtId="0" databaseField="0">
      <fieldGroup base="3">
        <rangePr groupBy="years" startDate="2024-06-27T00:00:00" endDate="2025-10-06T00:00:00"/>
        <groupItems count="4">
          <s v="&lt;27.06.24"/>
          <s v="2024"/>
          <s v="2025"/>
          <s v="&gt;06.10.25"/>
        </groupItems>
      </fieldGroup>
    </cacheField>
    <cacheField name="Monate (Kaufdatum)" numFmtId="0" databaseField="0">
      <fieldGroup base="6">
        <rangePr groupBy="months" startDate="2021-03-03T00:00:00" endDate="2025-09-10T00:00:00"/>
        <groupItems count="14">
          <s v="&lt;03.03.21"/>
          <s v="Jan"/>
          <s v="Feb"/>
          <s v="Mär"/>
          <s v="Apr"/>
          <s v="Mai"/>
          <s v="Jun"/>
          <s v="Jul"/>
          <s v="Aug"/>
          <s v="Sep"/>
          <s v="Okt"/>
          <s v="Nov"/>
          <s v="Dez"/>
          <s v="&gt;10.09.25"/>
        </groupItems>
      </fieldGroup>
    </cacheField>
    <cacheField name="Quartale (Kaufdatum)" numFmtId="0" databaseField="0">
      <fieldGroup base="6">
        <rangePr groupBy="quarters" startDate="2021-03-03T00:00:00" endDate="2025-09-10T00:00:00"/>
        <groupItems count="6">
          <s v="&lt;03.03.21"/>
          <s v="Qrtl1"/>
          <s v="Qrtl2"/>
          <s v="Qrtl3"/>
          <s v="Qrtl4"/>
          <s v="&gt;10.09.25"/>
        </groupItems>
      </fieldGroup>
    </cacheField>
    <cacheField name="Jahre (Kaufdatum)" numFmtId="0" databaseField="0">
      <fieldGroup base="6">
        <rangePr groupBy="years" startDate="2021-03-03T00:00:00" endDate="2025-09-10T00:00:00"/>
        <groupItems count="7">
          <s v="&lt;03.03.21"/>
          <s v="2021"/>
          <s v="2022"/>
          <s v="2023"/>
          <s v="2024"/>
          <s v="2025"/>
          <s v="&gt;10.09.25"/>
        </groupItems>
      </fieldGroup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x v="0"/>
    <s v="1009"/>
    <d v="2024-05-09T00:00:00"/>
    <x v="0"/>
    <s v="Beamer"/>
    <s v="BenQ MW550"/>
    <x v="0"/>
    <n v="64454"/>
    <s v="Berlin"/>
    <s v="Univ.Prof. Heimo Karge"/>
    <s v="Marketing"/>
    <s v="Hamburg"/>
  </r>
  <r>
    <x v="1"/>
    <s v="1008"/>
    <d v="2025-09-30T00:00:00"/>
    <x v="1"/>
    <s v="Monitor"/>
    <s v="Samsung Curved"/>
    <x v="1"/>
    <n v="113416"/>
    <s v="München"/>
    <s v="Dipl.-Ing. Klaus-Werner Holsten B.Sc."/>
    <s v="IT"/>
    <s v="Hamburg"/>
  </r>
  <r>
    <x v="2"/>
    <s v="1005"/>
    <d v="2025-03-27T00:00:00"/>
    <x v="2"/>
    <s v="Monitor"/>
    <s v="Dell UltraSharp"/>
    <x v="2"/>
    <n v="75091"/>
    <s v="Berlin"/>
    <s v="Alexandre Davids"/>
    <s v="Vertrieb"/>
    <s v="Berlin"/>
  </r>
  <r>
    <x v="3"/>
    <s v="1010"/>
    <d v="2025-07-28T00:00:00"/>
    <x v="0"/>
    <s v="Drucker"/>
    <s v="Canon Pixma"/>
    <x v="3"/>
    <n v="150106"/>
    <s v="Berlin"/>
    <s v="Carolin Hande"/>
    <s v="IT"/>
    <s v="Hamburg"/>
  </r>
  <r>
    <x v="4"/>
    <s v="1012"/>
    <d v="2025-05-31T00:00:00"/>
    <x v="3"/>
    <s v="Smartphone"/>
    <s v="Samsung S21"/>
    <x v="4"/>
    <n v="125796"/>
    <s v="München"/>
    <s v="Ariane Klemt-Kaul"/>
    <s v="IT"/>
    <s v="München"/>
  </r>
  <r>
    <x v="5"/>
    <s v="1009"/>
    <d v="2024-04-07T00:00:00"/>
    <x v="0"/>
    <s v="Drucker"/>
    <s v="Canon Pixma"/>
    <x v="5"/>
    <n v="82323"/>
    <s v="Berlin"/>
    <s v="Univ.Prof. Heimo Karge"/>
    <s v="Marketing"/>
    <s v="Hamburg"/>
  </r>
  <r>
    <x v="6"/>
    <s v="1011"/>
    <d v="2025-07-12T00:00:00"/>
    <x v="4"/>
    <s v="Laptop"/>
    <s v="Dell XPS"/>
    <x v="6"/>
    <n v="145802"/>
    <s v="München"/>
    <s v="Auguste Davids"/>
    <s v="IT"/>
    <s v="Hamburg"/>
  </r>
  <r>
    <x v="7"/>
    <s v="1005"/>
    <d v="2025-06-29T00:00:00"/>
    <x v="5"/>
    <s v="Drucker"/>
    <s v="Brother HL"/>
    <x v="7"/>
    <n v="14171"/>
    <s v="München"/>
    <s v="Alexandre Davids"/>
    <s v="Vertrieb"/>
    <s v="Berlin"/>
  </r>
  <r>
    <x v="8"/>
    <s v="1004"/>
    <d v="2024-08-19T00:00:00"/>
    <x v="0"/>
    <s v="Beamer"/>
    <s v="Epson EB"/>
    <x v="8"/>
    <n v="124658"/>
    <s v="Hamburg"/>
    <s v="Klemens Löffler"/>
    <s v="Vertrieb"/>
    <s v="Hamburg"/>
  </r>
  <r>
    <x v="9"/>
    <s v="1012"/>
    <d v="2024-05-07T00:00:00"/>
    <x v="6"/>
    <s v="Drucker"/>
    <s v="Canon Pixma"/>
    <x v="9"/>
    <n v="189865"/>
    <s v="Hamburg"/>
    <s v="Ariane Klemt-Kaul"/>
    <s v="IT"/>
    <s v="München"/>
  </r>
  <r>
    <x v="2"/>
    <s v="1008"/>
    <d v="2024-03-24T00:00:00"/>
    <x v="0"/>
    <s v="Monitor"/>
    <s v="Dell UltraSharp"/>
    <x v="2"/>
    <n v="75091"/>
    <s v="Berlin"/>
    <s v="Dipl.-Ing. Klaus-Werner Holsten B.Sc."/>
    <s v="IT"/>
    <s v="Hamburg"/>
  </r>
  <r>
    <x v="10"/>
    <s v="1002"/>
    <d v="2025-09-21T00:00:00"/>
    <x v="7"/>
    <s v="Laptop"/>
    <s v="Lenovo ThinkPad"/>
    <x v="10"/>
    <n v="155315"/>
    <s v="Hamburg"/>
    <s v="Eleni Hauffer"/>
    <s v="IT"/>
    <s v="Berlin"/>
  </r>
  <r>
    <x v="5"/>
    <s v="1006"/>
    <d v="2025-08-23T00:00:00"/>
    <x v="8"/>
    <s v="Drucker"/>
    <s v="Canon Pixma"/>
    <x v="5"/>
    <n v="82323"/>
    <s v="Berlin"/>
    <s v="Eric Patberg B.Sc."/>
    <s v="Vertrieb"/>
    <s v="Hamburg"/>
  </r>
  <r>
    <x v="11"/>
    <s v="1010"/>
    <d v="2024-03-26T00:00:00"/>
    <x v="9"/>
    <s v="Smartphone"/>
    <s v="iPhone 13"/>
    <x v="11"/>
    <n v="66144"/>
    <s v="München"/>
    <s v="Carolin Hande"/>
    <s v="IT"/>
    <s v="Hamburg"/>
  </r>
  <r>
    <x v="5"/>
    <s v="1012"/>
    <d v="2024-11-03T00:00:00"/>
    <x v="0"/>
    <s v="Drucker"/>
    <s v="Canon Pixma"/>
    <x v="5"/>
    <n v="82323"/>
    <s v="Berlin"/>
    <s v="Ariane Klemt-Kaul"/>
    <s v="IT"/>
    <s v="München"/>
  </r>
  <r>
    <x v="11"/>
    <s v="1002"/>
    <d v="2024-08-15T00:00:00"/>
    <x v="0"/>
    <s v="Smartphone"/>
    <s v="iPhone 13"/>
    <x v="11"/>
    <n v="66144"/>
    <s v="München"/>
    <s v="Eleni Hauffer"/>
    <s v="IT"/>
    <s v="Berlin"/>
  </r>
  <r>
    <x v="12"/>
    <s v="1002"/>
    <d v="2025-08-30T00:00:00"/>
    <x v="10"/>
    <s v="Tablet"/>
    <s v="iPad"/>
    <x v="12"/>
    <n v="159198"/>
    <s v="Hamburg"/>
    <s v="Eleni Hauffer"/>
    <s v="IT"/>
    <s v="Berlin"/>
  </r>
  <r>
    <x v="13"/>
    <s v="1011"/>
    <d v="2024-10-03T00:00:00"/>
    <x v="11"/>
    <s v="Tablet"/>
    <s v="iPad"/>
    <x v="13"/>
    <n v="168807"/>
    <s v="München"/>
    <s v="Auguste Davids"/>
    <s v="IT"/>
    <s v="Hamburg"/>
  </r>
  <r>
    <x v="0"/>
    <s v="1003"/>
    <d v="2024-05-05T00:00:00"/>
    <x v="0"/>
    <s v="Beamer"/>
    <s v="BenQ MW550"/>
    <x v="0"/>
    <n v="64454"/>
    <s v="Berlin"/>
    <s v="Paul Dobes-Stiffel"/>
    <s v="Produktion"/>
    <s v="Hamburg"/>
  </r>
  <r>
    <x v="14"/>
    <s v="1004"/>
    <d v="2024-01-29T00:00:00"/>
    <x v="0"/>
    <s v="Laptop"/>
    <s v="HP EliteBook"/>
    <x v="14"/>
    <n v="109562"/>
    <s v="München"/>
    <s v="Klemens Löffler"/>
    <s v="Vertrieb"/>
    <s v="Hamburg"/>
  </r>
  <r>
    <x v="15"/>
    <s v="1004"/>
    <d v="2024-04-21T00:00:00"/>
    <x v="12"/>
    <s v="Monitor"/>
    <s v="Samsung Curved"/>
    <x v="15"/>
    <n v="50164"/>
    <s v="München"/>
    <s v="Klemens Löffler"/>
    <s v="Vertrieb"/>
    <s v="Hamburg"/>
  </r>
  <r>
    <x v="8"/>
    <s v="1006"/>
    <d v="2024-12-04T00:00:00"/>
    <x v="13"/>
    <s v="Beamer"/>
    <s v="Epson EB"/>
    <x v="8"/>
    <n v="124658"/>
    <s v="Hamburg"/>
    <s v="Eric Patberg B.Sc."/>
    <s v="Vertrieb"/>
    <s v="Hamburg"/>
  </r>
  <r>
    <x v="16"/>
    <s v="1012"/>
    <d v="2025-05-15T00:00:00"/>
    <x v="14"/>
    <s v="Beamer"/>
    <s v="Epson EB"/>
    <x v="16"/>
    <n v="162976"/>
    <s v="München"/>
    <s v="Ariane Klemt-Kaul"/>
    <s v="IT"/>
    <s v="München"/>
  </r>
  <r>
    <x v="17"/>
    <s v="1001"/>
    <d v="2024-09-09T00:00:00"/>
    <x v="15"/>
    <s v="Laptop"/>
    <s v="Lenovo ThinkPad"/>
    <x v="17"/>
    <n v="86909"/>
    <s v="Hamburg"/>
    <s v="Aleksandr Weinhage"/>
    <s v="IT"/>
    <s v="Berlin"/>
  </r>
  <r>
    <x v="12"/>
    <s v="1002"/>
    <d v="2024-07-20T00:00:00"/>
    <x v="16"/>
    <s v="Tablet"/>
    <s v="iPad"/>
    <x v="12"/>
    <n v="159198"/>
    <s v="Hamburg"/>
    <s v="Eleni Hauffer"/>
    <s v="IT"/>
    <s v="Berlin"/>
  </r>
  <r>
    <x v="9"/>
    <s v="1009"/>
    <d v="2024-01-28T00:00:00"/>
    <x v="17"/>
    <s v="Drucker"/>
    <s v="Canon Pixma"/>
    <x v="9"/>
    <n v="189865"/>
    <s v="Hamburg"/>
    <s v="Univ.Prof. Heimo Karge"/>
    <s v="Marketing"/>
    <s v="Hamburg"/>
  </r>
  <r>
    <x v="8"/>
    <s v="1003"/>
    <d v="2024-10-30T00:00:00"/>
    <x v="18"/>
    <s v="Beamer"/>
    <s v="Epson EB"/>
    <x v="8"/>
    <n v="124658"/>
    <s v="Hamburg"/>
    <s v="Paul Dobes-Stiffel"/>
    <s v="Produktion"/>
    <s v="Hamburg"/>
  </r>
  <r>
    <x v="3"/>
    <s v="1002"/>
    <d v="2025-05-22T00:00:00"/>
    <x v="19"/>
    <s v="Drucker"/>
    <s v="Canon Pixma"/>
    <x v="3"/>
    <n v="150106"/>
    <s v="Berlin"/>
    <s v="Eleni Hauffer"/>
    <s v="IT"/>
    <s v="Berlin"/>
  </r>
  <r>
    <x v="17"/>
    <s v="1001"/>
    <d v="2025-08-11T00:00:00"/>
    <x v="0"/>
    <s v="Laptop"/>
    <s v="Lenovo ThinkPad"/>
    <x v="17"/>
    <n v="86909"/>
    <s v="Hamburg"/>
    <s v="Aleksandr Weinhage"/>
    <s v="IT"/>
    <s v="Berlin"/>
  </r>
  <r>
    <x v="0"/>
    <s v="1001"/>
    <d v="2024-01-06T00:00:00"/>
    <x v="0"/>
    <s v="Beamer"/>
    <s v="BenQ MW550"/>
    <x v="0"/>
    <n v="64454"/>
    <s v="Berlin"/>
    <s v="Aleksandr Weinhage"/>
    <s v="IT"/>
    <s v="Berlin"/>
  </r>
  <r>
    <x v="3"/>
    <s v="1003"/>
    <d v="2024-02-08T00:00:00"/>
    <x v="20"/>
    <s v="Drucker"/>
    <s v="Canon Pixma"/>
    <x v="3"/>
    <n v="150106"/>
    <s v="Berlin"/>
    <s v="Paul Dobes-Stiffel"/>
    <s v="Produktion"/>
    <s v="Hamburg"/>
  </r>
  <r>
    <x v="14"/>
    <s v="1004"/>
    <d v="2024-02-14T00:00:00"/>
    <x v="0"/>
    <s v="Laptop"/>
    <s v="HP EliteBook"/>
    <x v="14"/>
    <n v="109562"/>
    <s v="München"/>
    <s v="Klemens Löffler"/>
    <s v="Vertrieb"/>
    <s v="Hamburg"/>
  </r>
  <r>
    <x v="18"/>
    <s v="1003"/>
    <d v="2025-06-19T00:00:00"/>
    <x v="21"/>
    <s v="Laptop"/>
    <s v="Dell XPS"/>
    <x v="18"/>
    <n v="100788"/>
    <s v="München"/>
    <s v="Paul Dobes-Stiffel"/>
    <s v="Produktion"/>
    <s v="Hamburg"/>
  </r>
  <r>
    <x v="19"/>
    <s v="1005"/>
    <d v="2025-01-18T00:00:00"/>
    <x v="0"/>
    <s v="Beamer"/>
    <s v="Epson EB"/>
    <x v="19"/>
    <n v="54546"/>
    <s v="Berlin"/>
    <s v="Alexandre Davids"/>
    <s v="Vertrieb"/>
    <s v="Berlin"/>
  </r>
  <r>
    <x v="16"/>
    <s v="1005"/>
    <d v="2023-12-01T00:00:00"/>
    <x v="22"/>
    <s v="Beamer"/>
    <s v="Epson EB"/>
    <x v="16"/>
    <n v="162976"/>
    <s v="München"/>
    <s v="Alexandre Davids"/>
    <s v="Vertrieb"/>
    <s v="Berlin"/>
  </r>
  <r>
    <x v="20"/>
    <s v="1003"/>
    <d v="2024-08-04T00:00:00"/>
    <x v="23"/>
    <s v="Laptop"/>
    <s v="Lenovo ThinkPad"/>
    <x v="20"/>
    <n v="180136"/>
    <s v="München"/>
    <s v="Paul Dobes-Stiffel"/>
    <s v="Produktion"/>
    <s v="Hamburg"/>
  </r>
  <r>
    <x v="21"/>
    <s v="1001"/>
    <d v="2024-11-26T00:00:00"/>
    <x v="24"/>
    <s v="Laptop"/>
    <s v="Lenovo ThinkPad"/>
    <x v="21"/>
    <n v="141597"/>
    <s v="Hamburg"/>
    <s v="Aleksandr Weinhage"/>
    <s v="IT"/>
    <s v="Berlin"/>
  </r>
  <r>
    <x v="0"/>
    <s v="1001"/>
    <d v="2024-12-15T00:00:00"/>
    <x v="0"/>
    <s v="Beamer"/>
    <s v="BenQ MW550"/>
    <x v="0"/>
    <n v="64454"/>
    <s v="Berlin"/>
    <s v="Aleksandr Weinhage"/>
    <s v="IT"/>
    <s v="Berlin"/>
  </r>
  <r>
    <x v="18"/>
    <s v="1001"/>
    <d v="2025-08-11T00:00:00"/>
    <x v="25"/>
    <s v="Laptop"/>
    <s v="Dell XPS"/>
    <x v="18"/>
    <n v="100788"/>
    <s v="München"/>
    <s v="Aleksandr Weinhage"/>
    <s v="IT"/>
    <s v="Berlin"/>
  </r>
  <r>
    <x v="22"/>
    <s v="1009"/>
    <d v="2025-03-24T00:00:00"/>
    <x v="26"/>
    <s v="Beamer"/>
    <s v="BenQ MW550"/>
    <x v="22"/>
    <n v="121229"/>
    <s v="Berlin"/>
    <s v="Univ.Prof. Heimo Karge"/>
    <s v="Marketing"/>
    <s v="Hamburg"/>
  </r>
  <r>
    <x v="22"/>
    <s v="1002"/>
    <d v="2025-03-25T00:00:00"/>
    <x v="0"/>
    <s v="Beamer"/>
    <s v="BenQ MW550"/>
    <x v="22"/>
    <n v="121229"/>
    <s v="Berlin"/>
    <s v="Eleni Hauffer"/>
    <s v="IT"/>
    <s v="Berlin"/>
  </r>
  <r>
    <x v="5"/>
    <s v="1010"/>
    <d v="2025-08-30T00:00:00"/>
    <x v="27"/>
    <s v="Drucker"/>
    <s v="Canon Pixma"/>
    <x v="5"/>
    <n v="82323"/>
    <s v="Berlin"/>
    <s v="Carolin Hande"/>
    <s v="IT"/>
    <s v="Hamburg"/>
  </r>
  <r>
    <x v="3"/>
    <s v="1007"/>
    <d v="2025-05-18T00:00:00"/>
    <x v="28"/>
    <s v="Drucker"/>
    <s v="Canon Pixma"/>
    <x v="3"/>
    <n v="150106"/>
    <s v="Berlin"/>
    <s v="Orhan Siering MBA."/>
    <s v="IT"/>
    <s v="Berlin"/>
  </r>
  <r>
    <x v="3"/>
    <s v="1010"/>
    <d v="2025-05-31T00:00:00"/>
    <x v="29"/>
    <s v="Drucker"/>
    <s v="Canon Pixma"/>
    <x v="3"/>
    <n v="150106"/>
    <s v="Berlin"/>
    <s v="Carolin Hande"/>
    <s v="IT"/>
    <s v="Hamburg"/>
  </r>
  <r>
    <x v="4"/>
    <s v="1007"/>
    <d v="2024-07-03T00:00:00"/>
    <x v="0"/>
    <s v="Smartphone"/>
    <s v="Samsung S21"/>
    <x v="4"/>
    <n v="125796"/>
    <s v="München"/>
    <s v="Orhan Siering MBA."/>
    <s v="IT"/>
    <s v="Berlin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3424D-7528-D34B-8353-AC8E563DED4A}" name="PivotTable2" cacheId="9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outline="1" outlineData="1" multipleFieldFilters="0">
  <location ref="A3:A4" firstHeaderRow="1" firstDataRow="1" firstDataCol="1" rowPageCount="1" colPageCount="1"/>
  <pivotFields count="18">
    <pivotField axis="axisRow" showAll="0">
      <items count="24">
        <item x="18"/>
        <item x="5"/>
        <item x="4"/>
        <item x="17"/>
        <item x="6"/>
        <item x="7"/>
        <item x="9"/>
        <item x="21"/>
        <item x="11"/>
        <item x="3"/>
        <item x="13"/>
        <item x="1"/>
        <item x="12"/>
        <item x="2"/>
        <item x="19"/>
        <item x="15"/>
        <item x="8"/>
        <item x="10"/>
        <item x="16"/>
        <item x="14"/>
        <item x="20"/>
        <item x="22"/>
        <item x="0"/>
        <item t="default"/>
      </items>
    </pivotField>
    <pivotField showAll="0"/>
    <pivotField numFmtId="14" showAll="0"/>
    <pivotField axis="axisPage" multipleItemSelectionAllowed="1" showAll="0">
      <items count="31">
        <item h="1" x="6"/>
        <item h="1" x="22"/>
        <item h="1" x="11"/>
        <item h="1" x="18"/>
        <item h="1" x="16"/>
        <item h="1" x="17"/>
        <item h="1" x="24"/>
        <item h="1" x="13"/>
        <item h="1" x="26"/>
        <item h="1" x="19"/>
        <item h="1" x="20"/>
        <item h="1" x="3"/>
        <item h="1" x="12"/>
        <item h="1" x="28"/>
        <item h="1" x="4"/>
        <item h="1" x="15"/>
        <item h="1" x="2"/>
        <item h="1" x="23"/>
        <item h="1" x="25"/>
        <item h="1" x="9"/>
        <item h="1" x="5"/>
        <item h="1" x="14"/>
        <item h="1" x="21"/>
        <item h="1" x="8"/>
        <item h="1" x="27"/>
        <item h="1" x="10"/>
        <item h="1" x="29"/>
        <item h="1" x="7"/>
        <item h="1" x="1"/>
        <item h="1" x="0"/>
        <item t="default"/>
      </items>
    </pivotField>
    <pivotField showAll="0"/>
    <pivotField showAll="0"/>
    <pivotField axis="axisRow" numFmtId="14" showAll="0">
      <items count="24">
        <item x="21"/>
        <item x="9"/>
        <item x="10"/>
        <item x="17"/>
        <item x="5"/>
        <item x="2"/>
        <item x="22"/>
        <item x="16"/>
        <item x="15"/>
        <item x="11"/>
        <item x="13"/>
        <item x="20"/>
        <item x="8"/>
        <item x="1"/>
        <item x="3"/>
        <item x="6"/>
        <item x="19"/>
        <item x="4"/>
        <item x="0"/>
        <item x="12"/>
        <item x="14"/>
        <item x="18"/>
        <item x="7"/>
        <item t="default"/>
      </items>
    </pivotField>
    <pivotField numFmtId="164"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8">
        <item x="0"/>
        <item x="1"/>
        <item x="2"/>
        <item x="3"/>
        <item x="4"/>
        <item x="5"/>
        <item x="6"/>
        <item t="default"/>
      </items>
    </pivotField>
  </pivotFields>
  <rowFields count="7">
    <field x="16"/>
    <field x="15"/>
    <field x="6"/>
    <field x="14"/>
    <field x="13"/>
    <field x="12"/>
    <field x="0"/>
  </rowFields>
  <rowItems count="1">
    <i t="grand">
      <x/>
    </i>
  </rowItems>
  <colItems count="1">
    <i/>
  </colItems>
  <pageFields count="1">
    <pageField fld="3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2EB63755-4416-FD46-A361-FD9BDE7BD7C5}" autoFormatId="16" applyNumberFormats="0" applyBorderFormats="0" applyFontFormats="0" applyPatternFormats="0" applyAlignmentFormats="0" applyWidthHeightFormats="0">
  <queryTableRefresh nextId="14" unboundColumnsRight="8">
    <queryTableFields count="12">
      <queryTableField id="1" name="Gerätenummer" tableColumnId="1"/>
      <queryTableField id="2" name="Mitarbeiter-ID" tableColumnId="2"/>
      <queryTableField id="3" name="Ausgabe am" tableColumnId="3"/>
      <queryTableField id="4" name="Rückgabe am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1" dataBound="0" tableColumnId="11"/>
      <queryTableField id="12" dataBound="0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4" xr16:uid="{571A2C7B-1174-E74D-81FE-F4F1E726C717}" autoFormatId="16" applyNumberFormats="0" applyBorderFormats="0" applyFontFormats="0" applyPatternFormats="0" applyAlignmentFormats="0" applyWidthHeightFormats="0">
  <queryTableRefresh nextId="7">
    <queryTableFields count="6">
      <queryTableField id="1" name="Gerätenummer" tableColumnId="1"/>
      <queryTableField id="2" name="Gerätetyp" tableColumnId="2"/>
      <queryTableField id="3" name="Modell" tableColumnId="3"/>
      <queryTableField id="4" name="Kaufdatum" tableColumnId="4"/>
      <queryTableField id="5" name="Netto-Kaufpreis" tableColumnId="5"/>
      <queryTableField id="6" name="Standort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5" xr16:uid="{F6E71D6A-DDA0-1841-9D15-B2476984803C}" autoFormatId="16" applyNumberFormats="0" applyBorderFormats="0" applyFontFormats="0" applyPatternFormats="0" applyAlignmentFormats="0" applyWidthHeightFormats="0">
  <queryTableRefresh nextId="7">
    <queryTableFields count="5">
      <queryTableField id="5" name="Index" tableColumnId="5"/>
      <queryTableField id="1" name="Mitarbeiter-ID" tableColumnId="1"/>
      <queryTableField id="2" name="Name" tableColumnId="2"/>
      <queryTableField id="3" name="Abteilung" tableColumnId="3"/>
      <queryTableField id="4" name="Standor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2B63E8-F49A-E542-AAA2-9DE32D9DAF0D}" name="Ausleihen__2" displayName="Ausleihen__2" ref="A1:L46" tableType="queryTable" totalsRowShown="0">
  <autoFilter ref="A1:L46" xr:uid="{752B63E8-F49A-E542-AAA2-9DE32D9DAF0D}"/>
  <tableColumns count="12">
    <tableColumn id="1" xr3:uid="{A1C44C23-EF22-7241-A4E9-7816F8FD4A1B}" uniqueName="1" name="Gerätenummer" queryTableFieldId="1" dataDxfId="9"/>
    <tableColumn id="2" xr3:uid="{6B64FA49-D299-BA42-94A6-F7B441249F58}" uniqueName="2" name="Mitarbeiter-ID" queryTableFieldId="2" dataDxfId="7"/>
    <tableColumn id="3" xr3:uid="{95FFFF2F-A075-CD4F-900D-743D7DCEFF8B}" uniqueName="3" name="Ausgabe am" queryTableFieldId="3" dataDxfId="8"/>
    <tableColumn id="4" xr3:uid="{41F2E0F8-650F-4240-B637-A88F5F29B7DF}" uniqueName="4" name="Rückgabe am" queryTableFieldId="4" dataDxfId="17"/>
    <tableColumn id="5" xr3:uid="{A7764976-8831-744E-ADD4-84E84DFEBE9A}" uniqueName="5" name="Gerätetyp" queryTableFieldId="5" dataDxfId="16">
      <calculatedColumnFormula>_xlfn.XLOOKUP(A2,Geraete__2[Gerätenummer],Geraete__2[Gerätetyp],"n/a",0)</calculatedColumnFormula>
    </tableColumn>
    <tableColumn id="6" xr3:uid="{D6F88B6B-2C57-324D-B086-7E0011D8F024}" uniqueName="6" name="Modell" queryTableFieldId="6" dataDxfId="15">
      <calculatedColumnFormula>_xlfn.XLOOKUP(A2,Geraete__2[Gerätenummer],Geraete__2[Modell],"n/a",0)</calculatedColumnFormula>
    </tableColumn>
    <tableColumn id="7" xr3:uid="{F21123BE-5285-2E40-99A3-5919F7B48C34}" uniqueName="7" name="Kaufdatum" queryTableFieldId="7" dataDxfId="14">
      <calculatedColumnFormula>_xlfn.XLOOKUP(A2,Geraete__2[Gerätenummer],Geraete__2[Kaufdatum],"n/a",0)</calculatedColumnFormula>
    </tableColumn>
    <tableColumn id="8" xr3:uid="{68CC4FEA-7B7A-704D-93F0-183854874F5A}" uniqueName="8" name="Netto-Kaupreis" queryTableFieldId="8" dataDxfId="13">
      <calculatedColumnFormula>_xlfn.XLOOKUP(A2,Geraete__2[Gerätenummer],Geraete__2[Netto-Kaufpreis],"n/a",0)</calculatedColumnFormula>
    </tableColumn>
    <tableColumn id="9" xr3:uid="{89C281B9-0977-2042-9D41-01A3D6FB6CD5}" uniqueName="9" name="Standort" queryTableFieldId="9" dataDxfId="12">
      <calculatedColumnFormula>_xlfn.XLOOKUP(A2,Geraete__2[Gerätenummer],Geraete__2[Standort],"n/a",0)</calculatedColumnFormula>
    </tableColumn>
    <tableColumn id="11" xr3:uid="{BF39BA51-0B6F-664E-8B46-2BB82469BBBA}" uniqueName="11" name="Name" queryTableFieldId="11" dataDxfId="11">
      <calculatedColumnFormula>_xlfn.XLOOKUP(B2,Mitarbeiter[Mitarbeiter-ID],Mitarbeiter[Name],"n/a",0)</calculatedColumnFormula>
    </tableColumn>
    <tableColumn id="12" xr3:uid="{6A682E83-5DD5-B643-987D-D59C5171C0E3}" uniqueName="12" name="Abteilung" queryTableFieldId="12" dataDxfId="10">
      <calculatedColumnFormula>_xlfn.XLOOKUP(B2,Mitarbeiter[Mitarbeiter-ID],Mitarbeiter[Abteilung],"n/a",0)</calculatedColumnFormula>
    </tableColumn>
    <tableColumn id="13" xr3:uid="{7ADCF646-843F-7E44-8F1F-A2ADFE960826}" uniqueName="13" name="Standort_MA" queryTableFieldId="13" dataDxfId="4">
      <calculatedColumnFormula>_xlfn.XLOOKUP(B2,Mitarbeiter[Mitarbeiter-ID],Mitarbeiter[Standort],"n/a",0)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1AEF47-4099-294E-B570-1323862E263A}" name="Geraete__2" displayName="Geraete__2" ref="A1:F36" tableType="queryTable" totalsRowShown="0">
  <autoFilter ref="A1:F36" xr:uid="{541AEF47-4099-294E-B570-1323862E263A}"/>
  <tableColumns count="6">
    <tableColumn id="1" xr3:uid="{B220B4E0-CFD5-D245-91D4-E918E2DCA4FC}" uniqueName="1" name="Gerätenummer" queryTableFieldId="1" dataDxfId="25"/>
    <tableColumn id="2" xr3:uid="{2BF06DE7-5384-2E4E-A9E0-CCC4FD71D275}" uniqueName="2" name="Gerätetyp" queryTableFieldId="2" dataDxfId="24"/>
    <tableColumn id="3" xr3:uid="{52108165-9A62-434C-AF62-AA56A45034C0}" uniqueName="3" name="Modell" queryTableFieldId="3" dataDxfId="23"/>
    <tableColumn id="4" xr3:uid="{59BCE089-77CD-1C4F-B355-24BCE72E5586}" uniqueName="4" name="Kaufdatum" queryTableFieldId="4" dataDxfId="22"/>
    <tableColumn id="5" xr3:uid="{9C95263F-03A0-7E4C-B6BC-F1515C61BE01}" uniqueName="5" name="Netto-Kaufpreis" queryTableFieldId="5" dataDxfId="18"/>
    <tableColumn id="6" xr3:uid="{FCDC1861-5526-D94E-982B-EB3ECECC4D52}" uniqueName="6" name="Standort" queryTableFieldId="6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EEAC6E8-D0FB-4A45-B9AB-762A8F08693A}" name="Mitarbeiter" displayName="Mitarbeiter" ref="A1:E13" tableType="queryTable" totalsRowShown="0">
  <autoFilter ref="A1:E13" xr:uid="{1EEAC6E8-D0FB-4A45-B9AB-762A8F08693A}"/>
  <tableColumns count="5">
    <tableColumn id="5" xr3:uid="{56115502-4F59-A14D-AD1D-5829946D4A7A}" uniqueName="5" name="Index" queryTableFieldId="5"/>
    <tableColumn id="1" xr3:uid="{D843DD0A-25E3-DF47-A64A-16FAC14163BC}" uniqueName="1" name="Mitarbeiter-ID" queryTableFieldId="1" dataDxfId="5"/>
    <tableColumn id="2" xr3:uid="{17257AC1-5B08-3049-B55A-8D91F0195739}" uniqueName="2" name="Name" queryTableFieldId="2" dataDxfId="6"/>
    <tableColumn id="3" xr3:uid="{69F714EA-E794-DC4D-AEC3-B1793B28C40D}" uniqueName="3" name="Abteilung" queryTableFieldId="3" dataDxfId="20"/>
    <tableColumn id="4" xr3:uid="{B3ECC117-C63E-1C4D-9F0B-E8BC2D150EC8}" uniqueName="4" name="Standort" queryTableFieldId="4" dataDxfId="1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480CDBB-26CC-6048-A95F-1A4A47773AE8}" name="Tabelle1" displayName="Tabelle1" ref="A1:L46" totalsRowShown="0">
  <autoFilter ref="A1:L46" xr:uid="{5480CDBB-26CC-6048-A95F-1A4A47773AE8}"/>
  <tableColumns count="12">
    <tableColumn id="1" xr3:uid="{960C873B-F9E1-3D46-BF4E-9A2AFBA369CF}" name="Gerätenummer"/>
    <tableColumn id="2" xr3:uid="{99510E0A-30F5-C442-8996-76675CE87EC5}" name="Mitarbeiter-ID"/>
    <tableColumn id="3" xr3:uid="{7EC543DE-F8C9-4C41-8514-4FA480D546BE}" name="Ausgabe am" dataDxfId="3"/>
    <tableColumn id="4" xr3:uid="{F22A4207-1E13-B24C-95C7-7993B82055D3}" name="Rückgabe am" dataDxfId="2"/>
    <tableColumn id="5" xr3:uid="{7D079EE8-2245-C84D-A6CF-DC49A64567A2}" name="Gerätetyp"/>
    <tableColumn id="6" xr3:uid="{50384C9F-C9BA-1E4F-8320-699D2825F8F3}" name="Modell"/>
    <tableColumn id="7" xr3:uid="{E83C9D03-9214-9345-9E1F-B08BCE50603E}" name="Kaufdatum" dataDxfId="1"/>
    <tableColumn id="8" xr3:uid="{67782AD1-01F0-884D-A2DB-4315CFB7E229}" name="Netto-Kaupreis" dataDxfId="0"/>
    <tableColumn id="9" xr3:uid="{63233ED7-CA5F-B54A-B734-8F84BE884D33}" name="Standort"/>
    <tableColumn id="10" xr3:uid="{6A7E3AFB-B158-EE41-A0FB-93B6A3607C27}" name="Name"/>
    <tableColumn id="11" xr3:uid="{DFF13A3B-AE7E-8842-A542-D768652A7765}" name="Abteilung"/>
    <tableColumn id="12" xr3:uid="{BCE9C2E8-FB92-D04C-AB4F-AD36D810218C}" name="Standort_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A1C8D-75ED-0046-A5E5-23447D84AA21}">
  <dimension ref="A1:L46"/>
  <sheetViews>
    <sheetView workbookViewId="0">
      <selection sqref="A1:L1"/>
    </sheetView>
  </sheetViews>
  <sheetFormatPr baseColWidth="10" defaultRowHeight="16" x14ac:dyDescent="0.2"/>
  <cols>
    <col min="1" max="1" width="16.33203125" bestFit="1" customWidth="1"/>
    <col min="2" max="2" width="15.33203125" style="6" bestFit="1" customWidth="1"/>
    <col min="3" max="3" width="13.83203125" bestFit="1" customWidth="1"/>
    <col min="4" max="4" width="14.83203125" bestFit="1" customWidth="1"/>
    <col min="6" max="6" width="14.5" bestFit="1" customWidth="1"/>
    <col min="7" max="7" width="12.83203125" style="2" bestFit="1" customWidth="1"/>
    <col min="8" max="8" width="16.1640625" style="4" bestFit="1" customWidth="1"/>
    <col min="9" max="9" width="10.6640625" bestFit="1" customWidth="1"/>
    <col min="12" max="12" width="11.6640625" bestFit="1" customWidth="1"/>
  </cols>
  <sheetData>
    <row r="1" spans="1:12" x14ac:dyDescent="0.2">
      <c r="A1" t="s">
        <v>0</v>
      </c>
      <c r="B1" s="6" t="s">
        <v>1</v>
      </c>
      <c r="C1" t="s">
        <v>2</v>
      </c>
      <c r="D1" t="s">
        <v>3</v>
      </c>
      <c r="E1" t="s">
        <v>27</v>
      </c>
      <c r="F1" t="s">
        <v>28</v>
      </c>
      <c r="G1" s="2" t="s">
        <v>29</v>
      </c>
      <c r="H1" s="4" t="s">
        <v>99</v>
      </c>
      <c r="I1" t="s">
        <v>31</v>
      </c>
      <c r="J1" t="s">
        <v>68</v>
      </c>
      <c r="K1" t="s">
        <v>69</v>
      </c>
      <c r="L1" t="s">
        <v>100</v>
      </c>
    </row>
    <row r="2" spans="1:12" x14ac:dyDescent="0.2">
      <c r="A2" s="1" t="s">
        <v>4</v>
      </c>
      <c r="B2" s="6" t="s">
        <v>86</v>
      </c>
      <c r="C2" s="2">
        <v>45421</v>
      </c>
      <c r="D2" s="2"/>
      <c r="E2" t="str">
        <f>_xlfn.XLOOKUP(A2,Geraete__2[Gerätenummer],Geraete__2[Gerätetyp],"n/a",0)</f>
        <v>Beamer</v>
      </c>
      <c r="F2" s="1" t="str">
        <f>_xlfn.XLOOKUP(A2,Geraete__2[Gerätenummer],Geraete__2[Modell],"n/a",0)</f>
        <v>BenQ MW550</v>
      </c>
      <c r="G2" s="2">
        <f>_xlfn.XLOOKUP(A2,Geraete__2[Gerätenummer],Geraete__2[Kaufdatum],"n/a",0)</f>
        <v>45294</v>
      </c>
      <c r="H2" s="4">
        <f>_xlfn.XLOOKUP(A2,Geraete__2[Gerätenummer],Geraete__2[Netto-Kaufpreis],"n/a",0)</f>
        <v>64454</v>
      </c>
      <c r="I2" s="4" t="str">
        <f>_xlfn.XLOOKUP(A2,Geraete__2[Gerätenummer],Geraete__2[Standort],"n/a",0)</f>
        <v>Berlin</v>
      </c>
      <c r="J2" t="str">
        <f>_xlfn.XLOOKUP(B2,Mitarbeiter[Mitarbeiter-ID],Mitarbeiter[Name],"n/a",0)</f>
        <v>Univ.Prof. Heimo Karge</v>
      </c>
      <c r="K2" t="str">
        <f>_xlfn.XLOOKUP(B2,Mitarbeiter[Mitarbeiter-ID],Mitarbeiter[Abteilung],"n/a",0)</f>
        <v>Marketing</v>
      </c>
      <c r="L2" t="str">
        <f>_xlfn.XLOOKUP(B2,Mitarbeiter[Mitarbeiter-ID],Mitarbeiter[Standort],"n/a",0)</f>
        <v>Hamburg</v>
      </c>
    </row>
    <row r="3" spans="1:12" x14ac:dyDescent="0.2">
      <c r="A3" s="1" t="s">
        <v>5</v>
      </c>
      <c r="B3" s="6" t="s">
        <v>87</v>
      </c>
      <c r="C3" s="2">
        <v>45930</v>
      </c>
      <c r="D3" s="2">
        <v>45935</v>
      </c>
      <c r="E3" t="str">
        <f>_xlfn.XLOOKUP(A3,Geraete__2[Gerätenummer],Geraete__2[Gerätetyp],"n/a",0)</f>
        <v>Monitor</v>
      </c>
      <c r="F3" s="1" t="str">
        <f>_xlfn.XLOOKUP(A3,Geraete__2[Gerätenummer],Geraete__2[Modell],"n/a",0)</f>
        <v>Samsung Curved</v>
      </c>
      <c r="G3" s="2">
        <f>_xlfn.XLOOKUP(A3,Geraete__2[Gerätenummer],Geraete__2[Kaufdatum],"n/a",0)</f>
        <v>44979</v>
      </c>
      <c r="H3" s="4">
        <f>_xlfn.XLOOKUP(A3,Geraete__2[Gerätenummer],Geraete__2[Netto-Kaufpreis],"n/a",0)</f>
        <v>113416</v>
      </c>
      <c r="I3" s="4" t="str">
        <f>_xlfn.XLOOKUP(A3,Geraete__2[Gerätenummer],Geraete__2[Standort],"n/a",0)</f>
        <v>München</v>
      </c>
      <c r="J3" t="str">
        <f>_xlfn.XLOOKUP(B3,Mitarbeiter[Mitarbeiter-ID],Mitarbeiter[Name],"n/a",0)</f>
        <v>Dipl.-Ing. Klaus-Werner Holsten B.Sc.</v>
      </c>
      <c r="K3" t="str">
        <f>_xlfn.XLOOKUP(B3,Mitarbeiter[Mitarbeiter-ID],Mitarbeiter[Abteilung],"n/a",0)</f>
        <v>IT</v>
      </c>
      <c r="L3" t="str">
        <f>_xlfn.XLOOKUP(B3,Mitarbeiter[Mitarbeiter-ID],Mitarbeiter[Standort],"n/a",0)</f>
        <v>Hamburg</v>
      </c>
    </row>
    <row r="4" spans="1:12" x14ac:dyDescent="0.2">
      <c r="A4" s="1" t="s">
        <v>6</v>
      </c>
      <c r="B4" s="6" t="s">
        <v>88</v>
      </c>
      <c r="C4" s="2">
        <v>45743</v>
      </c>
      <c r="D4" s="2">
        <v>45868</v>
      </c>
      <c r="E4" t="str">
        <f>_xlfn.XLOOKUP(A4,Geraete__2[Gerätenummer],Geraete__2[Gerätetyp],"n/a",0)</f>
        <v>Monitor</v>
      </c>
      <c r="F4" s="1" t="str">
        <f>_xlfn.XLOOKUP(A4,Geraete__2[Gerätenummer],Geraete__2[Modell],"n/a",0)</f>
        <v>Dell UltraSharp</v>
      </c>
      <c r="G4" s="2">
        <f>_xlfn.XLOOKUP(A4,Geraete__2[Gerätenummer],Geraete__2[Kaufdatum],"n/a",0)</f>
        <v>44621</v>
      </c>
      <c r="H4" s="4">
        <f>_xlfn.XLOOKUP(A4,Geraete__2[Gerätenummer],Geraete__2[Netto-Kaufpreis],"n/a",0)</f>
        <v>75091</v>
      </c>
      <c r="I4" s="4" t="str">
        <f>_xlfn.XLOOKUP(A4,Geraete__2[Gerätenummer],Geraete__2[Standort],"n/a",0)</f>
        <v>Berlin</v>
      </c>
      <c r="J4" t="str">
        <f>_xlfn.XLOOKUP(B4,Mitarbeiter[Mitarbeiter-ID],Mitarbeiter[Name],"n/a",0)</f>
        <v>Alexandre Davids</v>
      </c>
      <c r="K4" t="str">
        <f>_xlfn.XLOOKUP(B4,Mitarbeiter[Mitarbeiter-ID],Mitarbeiter[Abteilung],"n/a",0)</f>
        <v>Vertrieb</v>
      </c>
      <c r="L4" t="str">
        <f>_xlfn.XLOOKUP(B4,Mitarbeiter[Mitarbeiter-ID],Mitarbeiter[Standort],"n/a",0)</f>
        <v>Berlin</v>
      </c>
    </row>
    <row r="5" spans="1:12" x14ac:dyDescent="0.2">
      <c r="A5" s="1" t="s">
        <v>7</v>
      </c>
      <c r="B5" s="6" t="s">
        <v>89</v>
      </c>
      <c r="C5" s="2">
        <v>45866</v>
      </c>
      <c r="D5" s="2"/>
      <c r="E5" t="str">
        <f>_xlfn.XLOOKUP(A5,Geraete__2[Gerätenummer],Geraete__2[Gerätetyp],"n/a",0)</f>
        <v>Drucker</v>
      </c>
      <c r="F5" s="1" t="str">
        <f>_xlfn.XLOOKUP(A5,Geraete__2[Gerätenummer],Geraete__2[Modell],"n/a",0)</f>
        <v>Canon Pixma</v>
      </c>
      <c r="G5" s="2">
        <f>_xlfn.XLOOKUP(A5,Geraete__2[Gerätenummer],Geraete__2[Kaufdatum],"n/a",0)</f>
        <v>45015</v>
      </c>
      <c r="H5" s="4">
        <f>_xlfn.XLOOKUP(A5,Geraete__2[Gerätenummer],Geraete__2[Netto-Kaufpreis],"n/a",0)</f>
        <v>150106</v>
      </c>
      <c r="I5" s="4" t="str">
        <f>_xlfn.XLOOKUP(A5,Geraete__2[Gerätenummer],Geraete__2[Standort],"n/a",0)</f>
        <v>Berlin</v>
      </c>
      <c r="J5" t="str">
        <f>_xlfn.XLOOKUP(B5,Mitarbeiter[Mitarbeiter-ID],Mitarbeiter[Name],"n/a",0)</f>
        <v>Carolin Hande</v>
      </c>
      <c r="K5" t="str">
        <f>_xlfn.XLOOKUP(B5,Mitarbeiter[Mitarbeiter-ID],Mitarbeiter[Abteilung],"n/a",0)</f>
        <v>IT</v>
      </c>
      <c r="L5" t="str">
        <f>_xlfn.XLOOKUP(B5,Mitarbeiter[Mitarbeiter-ID],Mitarbeiter[Standort],"n/a",0)</f>
        <v>Hamburg</v>
      </c>
    </row>
    <row r="6" spans="1:12" x14ac:dyDescent="0.2">
      <c r="A6" s="1" t="s">
        <v>8</v>
      </c>
      <c r="B6" s="6" t="s">
        <v>90</v>
      </c>
      <c r="C6" s="2">
        <v>45808</v>
      </c>
      <c r="D6" s="2">
        <v>45818</v>
      </c>
      <c r="E6" t="str">
        <f>_xlfn.XLOOKUP(A6,Geraete__2[Gerätenummer],Geraete__2[Gerätetyp],"n/a",0)</f>
        <v>Smartphone</v>
      </c>
      <c r="F6" s="1" t="str">
        <f>_xlfn.XLOOKUP(A6,Geraete__2[Gerätenummer],Geraete__2[Modell],"n/a",0)</f>
        <v>Samsung S21</v>
      </c>
      <c r="G6" s="2">
        <f>_xlfn.XLOOKUP(A6,Geraete__2[Gerätenummer],Geraete__2[Kaufdatum],"n/a",0)</f>
        <v>45292</v>
      </c>
      <c r="H6" s="4">
        <f>_xlfn.XLOOKUP(A6,Geraete__2[Gerätenummer],Geraete__2[Netto-Kaufpreis],"n/a",0)</f>
        <v>125796</v>
      </c>
      <c r="I6" s="4" t="str">
        <f>_xlfn.XLOOKUP(A6,Geraete__2[Gerätenummer],Geraete__2[Standort],"n/a",0)</f>
        <v>München</v>
      </c>
      <c r="J6" t="str">
        <f>_xlfn.XLOOKUP(B6,Mitarbeiter[Mitarbeiter-ID],Mitarbeiter[Name],"n/a",0)</f>
        <v>Ariane Klemt-Kaul</v>
      </c>
      <c r="K6" t="str">
        <f>_xlfn.XLOOKUP(B6,Mitarbeiter[Mitarbeiter-ID],Mitarbeiter[Abteilung],"n/a",0)</f>
        <v>IT</v>
      </c>
      <c r="L6" t="str">
        <f>_xlfn.XLOOKUP(B6,Mitarbeiter[Mitarbeiter-ID],Mitarbeiter[Standort],"n/a",0)</f>
        <v>München</v>
      </c>
    </row>
    <row r="7" spans="1:12" x14ac:dyDescent="0.2">
      <c r="A7" s="1" t="s">
        <v>9</v>
      </c>
      <c r="B7" s="6" t="s">
        <v>86</v>
      </c>
      <c r="C7" s="2">
        <v>45389</v>
      </c>
      <c r="D7" s="2"/>
      <c r="E7" t="str">
        <f>_xlfn.XLOOKUP(A7,Geraete__2[Gerätenummer],Geraete__2[Gerätetyp],"n/a",0)</f>
        <v>Drucker</v>
      </c>
      <c r="F7" s="1" t="str">
        <f>_xlfn.XLOOKUP(A7,Geraete__2[Gerätenummer],Geraete__2[Modell],"n/a",0)</f>
        <v>Canon Pixma</v>
      </c>
      <c r="G7" s="2">
        <f>_xlfn.XLOOKUP(A7,Geraete__2[Gerätenummer],Geraete__2[Kaufdatum],"n/a",0)</f>
        <v>44503</v>
      </c>
      <c r="H7" s="4">
        <f>_xlfn.XLOOKUP(A7,Geraete__2[Gerätenummer],Geraete__2[Netto-Kaufpreis],"n/a",0)</f>
        <v>82323</v>
      </c>
      <c r="I7" s="4" t="str">
        <f>_xlfn.XLOOKUP(A7,Geraete__2[Gerätenummer],Geraete__2[Standort],"n/a",0)</f>
        <v>Berlin</v>
      </c>
      <c r="J7" t="str">
        <f>_xlfn.XLOOKUP(B7,Mitarbeiter[Mitarbeiter-ID],Mitarbeiter[Name],"n/a",0)</f>
        <v>Univ.Prof. Heimo Karge</v>
      </c>
      <c r="K7" t="str">
        <f>_xlfn.XLOOKUP(B7,Mitarbeiter[Mitarbeiter-ID],Mitarbeiter[Abteilung],"n/a",0)</f>
        <v>Marketing</v>
      </c>
      <c r="L7" t="str">
        <f>_xlfn.XLOOKUP(B7,Mitarbeiter[Mitarbeiter-ID],Mitarbeiter[Standort],"n/a",0)</f>
        <v>Hamburg</v>
      </c>
    </row>
    <row r="8" spans="1:12" x14ac:dyDescent="0.2">
      <c r="A8" s="1" t="s">
        <v>10</v>
      </c>
      <c r="B8" s="6" t="s">
        <v>91</v>
      </c>
      <c r="C8" s="2">
        <v>45850</v>
      </c>
      <c r="D8" s="2">
        <v>45853</v>
      </c>
      <c r="E8" t="str">
        <f>_xlfn.XLOOKUP(A8,Geraete__2[Gerätenummer],Geraete__2[Gerätetyp],"n/a",0)</f>
        <v>Laptop</v>
      </c>
      <c r="F8" s="1" t="str">
        <f>_xlfn.XLOOKUP(A8,Geraete__2[Gerätenummer],Geraete__2[Modell],"n/a",0)</f>
        <v>Dell XPS</v>
      </c>
      <c r="G8" s="2">
        <f>_xlfn.XLOOKUP(A8,Geraete__2[Gerätenummer],Geraete__2[Kaufdatum],"n/a",0)</f>
        <v>45026</v>
      </c>
      <c r="H8" s="4">
        <f>_xlfn.XLOOKUP(A8,Geraete__2[Gerätenummer],Geraete__2[Netto-Kaufpreis],"n/a",0)</f>
        <v>145802</v>
      </c>
      <c r="I8" s="4" t="str">
        <f>_xlfn.XLOOKUP(A8,Geraete__2[Gerätenummer],Geraete__2[Standort],"n/a",0)</f>
        <v>München</v>
      </c>
      <c r="J8" t="str">
        <f>_xlfn.XLOOKUP(B8,Mitarbeiter[Mitarbeiter-ID],Mitarbeiter[Name],"n/a",0)</f>
        <v>Auguste Davids</v>
      </c>
      <c r="K8" t="str">
        <f>_xlfn.XLOOKUP(B8,Mitarbeiter[Mitarbeiter-ID],Mitarbeiter[Abteilung],"n/a",0)</f>
        <v>IT</v>
      </c>
      <c r="L8" t="str">
        <f>_xlfn.XLOOKUP(B8,Mitarbeiter[Mitarbeiter-ID],Mitarbeiter[Standort],"n/a",0)</f>
        <v>Hamburg</v>
      </c>
    </row>
    <row r="9" spans="1:12" x14ac:dyDescent="0.2">
      <c r="A9" s="1" t="s">
        <v>11</v>
      </c>
      <c r="B9" s="6" t="s">
        <v>88</v>
      </c>
      <c r="C9" s="2">
        <v>45837</v>
      </c>
      <c r="D9" s="2">
        <v>45898</v>
      </c>
      <c r="E9" t="str">
        <f>_xlfn.XLOOKUP(A9,Geraete__2[Gerätenummer],Geraete__2[Gerätetyp],"n/a",0)</f>
        <v>Drucker</v>
      </c>
      <c r="F9" s="1" t="str">
        <f>_xlfn.XLOOKUP(A9,Geraete__2[Gerätenummer],Geraete__2[Modell],"n/a",0)</f>
        <v>Brother HL</v>
      </c>
      <c r="G9" s="2">
        <f>_xlfn.XLOOKUP(A9,Geraete__2[Gerätenummer],Geraete__2[Kaufdatum],"n/a",0)</f>
        <v>45909</v>
      </c>
      <c r="H9" s="4">
        <f>_xlfn.XLOOKUP(A9,Geraete__2[Gerätenummer],Geraete__2[Netto-Kaufpreis],"n/a",0)</f>
        <v>14171</v>
      </c>
      <c r="I9" s="4" t="str">
        <f>_xlfn.XLOOKUP(A9,Geraete__2[Gerätenummer],Geraete__2[Standort],"n/a",0)</f>
        <v>München</v>
      </c>
      <c r="J9" t="str">
        <f>_xlfn.XLOOKUP(B9,Mitarbeiter[Mitarbeiter-ID],Mitarbeiter[Name],"n/a",0)</f>
        <v>Alexandre Davids</v>
      </c>
      <c r="K9" t="str">
        <f>_xlfn.XLOOKUP(B9,Mitarbeiter[Mitarbeiter-ID],Mitarbeiter[Abteilung],"n/a",0)</f>
        <v>Vertrieb</v>
      </c>
      <c r="L9" t="str">
        <f>_xlfn.XLOOKUP(B9,Mitarbeiter[Mitarbeiter-ID],Mitarbeiter[Standort],"n/a",0)</f>
        <v>Berlin</v>
      </c>
    </row>
    <row r="10" spans="1:12" x14ac:dyDescent="0.2">
      <c r="A10" s="1" t="s">
        <v>12</v>
      </c>
      <c r="B10" s="6" t="s">
        <v>92</v>
      </c>
      <c r="C10" s="2">
        <v>45523</v>
      </c>
      <c r="D10" s="2"/>
      <c r="E10" t="str">
        <f>_xlfn.XLOOKUP(A10,Geraete__2[Gerätenummer],Geraete__2[Gerätetyp],"n/a",0)</f>
        <v>Beamer</v>
      </c>
      <c r="F10" s="1" t="str">
        <f>_xlfn.XLOOKUP(A10,Geraete__2[Gerätenummer],Geraete__2[Modell],"n/a",0)</f>
        <v>Epson EB</v>
      </c>
      <c r="G10" s="2">
        <f>_xlfn.XLOOKUP(A10,Geraete__2[Gerätenummer],Geraete__2[Kaufdatum],"n/a",0)</f>
        <v>44945</v>
      </c>
      <c r="H10" s="4">
        <f>_xlfn.XLOOKUP(A10,Geraete__2[Gerätenummer],Geraete__2[Netto-Kaufpreis],"n/a",0)</f>
        <v>124658</v>
      </c>
      <c r="I10" s="4" t="str">
        <f>_xlfn.XLOOKUP(A10,Geraete__2[Gerätenummer],Geraete__2[Standort],"n/a",0)</f>
        <v>Hamburg</v>
      </c>
      <c r="J10" t="str">
        <f>_xlfn.XLOOKUP(B10,Mitarbeiter[Mitarbeiter-ID],Mitarbeiter[Name],"n/a",0)</f>
        <v>Klemens Löffler</v>
      </c>
      <c r="K10" t="str">
        <f>_xlfn.XLOOKUP(B10,Mitarbeiter[Mitarbeiter-ID],Mitarbeiter[Abteilung],"n/a",0)</f>
        <v>Vertrieb</v>
      </c>
      <c r="L10" t="str">
        <f>_xlfn.XLOOKUP(B10,Mitarbeiter[Mitarbeiter-ID],Mitarbeiter[Standort],"n/a",0)</f>
        <v>Hamburg</v>
      </c>
    </row>
    <row r="11" spans="1:12" x14ac:dyDescent="0.2">
      <c r="A11" s="1" t="s">
        <v>13</v>
      </c>
      <c r="B11" s="6" t="s">
        <v>90</v>
      </c>
      <c r="C11" s="2">
        <v>45419</v>
      </c>
      <c r="D11" s="2">
        <v>45470</v>
      </c>
      <c r="E11" t="str">
        <f>_xlfn.XLOOKUP(A11,Geraete__2[Gerätenummer],Geraete__2[Gerätetyp],"n/a",0)</f>
        <v>Drucker</v>
      </c>
      <c r="F11" s="1" t="str">
        <f>_xlfn.XLOOKUP(A11,Geraete__2[Gerätenummer],Geraete__2[Modell],"n/a",0)</f>
        <v>Canon Pixma</v>
      </c>
      <c r="G11" s="2">
        <f>_xlfn.XLOOKUP(A11,Geraete__2[Gerätenummer],Geraete__2[Kaufdatum],"n/a",0)</f>
        <v>44332</v>
      </c>
      <c r="H11" s="4">
        <f>_xlfn.XLOOKUP(A11,Geraete__2[Gerätenummer],Geraete__2[Netto-Kaufpreis],"n/a",0)</f>
        <v>189865</v>
      </c>
      <c r="I11" s="4" t="str">
        <f>_xlfn.XLOOKUP(A11,Geraete__2[Gerätenummer],Geraete__2[Standort],"n/a",0)</f>
        <v>Hamburg</v>
      </c>
      <c r="J11" t="str">
        <f>_xlfn.XLOOKUP(B11,Mitarbeiter[Mitarbeiter-ID],Mitarbeiter[Name],"n/a",0)</f>
        <v>Ariane Klemt-Kaul</v>
      </c>
      <c r="K11" t="str">
        <f>_xlfn.XLOOKUP(B11,Mitarbeiter[Mitarbeiter-ID],Mitarbeiter[Abteilung],"n/a",0)</f>
        <v>IT</v>
      </c>
      <c r="L11" t="str">
        <f>_xlfn.XLOOKUP(B11,Mitarbeiter[Mitarbeiter-ID],Mitarbeiter[Standort],"n/a",0)</f>
        <v>München</v>
      </c>
    </row>
    <row r="12" spans="1:12" x14ac:dyDescent="0.2">
      <c r="A12" s="1" t="s">
        <v>6</v>
      </c>
      <c r="B12" s="6" t="s">
        <v>87</v>
      </c>
      <c r="C12" s="2">
        <v>45375</v>
      </c>
      <c r="D12" s="2"/>
      <c r="E12" t="str">
        <f>_xlfn.XLOOKUP(A12,Geraete__2[Gerätenummer],Geraete__2[Gerätetyp],"n/a",0)</f>
        <v>Monitor</v>
      </c>
      <c r="F12" s="1" t="str">
        <f>_xlfn.XLOOKUP(A12,Geraete__2[Gerätenummer],Geraete__2[Modell],"n/a",0)</f>
        <v>Dell UltraSharp</v>
      </c>
      <c r="G12" s="2">
        <f>_xlfn.XLOOKUP(A12,Geraete__2[Gerätenummer],Geraete__2[Kaufdatum],"n/a",0)</f>
        <v>44621</v>
      </c>
      <c r="H12" s="4">
        <f>_xlfn.XLOOKUP(A12,Geraete__2[Gerätenummer],Geraete__2[Netto-Kaufpreis],"n/a",0)</f>
        <v>75091</v>
      </c>
      <c r="I12" s="4" t="str">
        <f>_xlfn.XLOOKUP(A12,Geraete__2[Gerätenummer],Geraete__2[Standort],"n/a",0)</f>
        <v>Berlin</v>
      </c>
      <c r="J12" t="str">
        <f>_xlfn.XLOOKUP(B12,Mitarbeiter[Mitarbeiter-ID],Mitarbeiter[Name],"n/a",0)</f>
        <v>Dipl.-Ing. Klaus-Werner Holsten B.Sc.</v>
      </c>
      <c r="K12" t="str">
        <f>_xlfn.XLOOKUP(B12,Mitarbeiter[Mitarbeiter-ID],Mitarbeiter[Abteilung],"n/a",0)</f>
        <v>IT</v>
      </c>
      <c r="L12" t="str">
        <f>_xlfn.XLOOKUP(B12,Mitarbeiter[Mitarbeiter-ID],Mitarbeiter[Standort],"n/a",0)</f>
        <v>Hamburg</v>
      </c>
    </row>
    <row r="13" spans="1:12" x14ac:dyDescent="0.2">
      <c r="A13" s="1" t="s">
        <v>14</v>
      </c>
      <c r="B13" s="6" t="s">
        <v>93</v>
      </c>
      <c r="C13" s="2">
        <v>45921</v>
      </c>
      <c r="D13" s="2">
        <v>45934</v>
      </c>
      <c r="E13" t="str">
        <f>_xlfn.XLOOKUP(A13,Geraete__2[Gerätenummer],Geraete__2[Gerätetyp],"n/a",0)</f>
        <v>Laptop</v>
      </c>
      <c r="F13" s="1" t="str">
        <f>_xlfn.XLOOKUP(A13,Geraete__2[Gerätenummer],Geraete__2[Modell],"n/a",0)</f>
        <v>Lenovo ThinkPad</v>
      </c>
      <c r="G13" s="2">
        <f>_xlfn.XLOOKUP(A13,Geraete__2[Gerätenummer],Geraete__2[Kaufdatum],"n/a",0)</f>
        <v>44337</v>
      </c>
      <c r="H13" s="4">
        <f>_xlfn.XLOOKUP(A13,Geraete__2[Gerätenummer],Geraete__2[Netto-Kaufpreis],"n/a",0)</f>
        <v>155315</v>
      </c>
      <c r="I13" s="4" t="str">
        <f>_xlfn.XLOOKUP(A13,Geraete__2[Gerätenummer],Geraete__2[Standort],"n/a",0)</f>
        <v>Hamburg</v>
      </c>
      <c r="J13" t="str">
        <f>_xlfn.XLOOKUP(B13,Mitarbeiter[Mitarbeiter-ID],Mitarbeiter[Name],"n/a",0)</f>
        <v>Eleni Hauffer</v>
      </c>
      <c r="K13" t="str">
        <f>_xlfn.XLOOKUP(B13,Mitarbeiter[Mitarbeiter-ID],Mitarbeiter[Abteilung],"n/a",0)</f>
        <v>IT</v>
      </c>
      <c r="L13" t="str">
        <f>_xlfn.XLOOKUP(B13,Mitarbeiter[Mitarbeiter-ID],Mitarbeiter[Standort],"n/a",0)</f>
        <v>Berlin</v>
      </c>
    </row>
    <row r="14" spans="1:12" x14ac:dyDescent="0.2">
      <c r="A14" s="1" t="s">
        <v>9</v>
      </c>
      <c r="B14" s="6" t="s">
        <v>94</v>
      </c>
      <c r="C14" s="2">
        <v>45892</v>
      </c>
      <c r="D14" s="2">
        <v>45922</v>
      </c>
      <c r="E14" t="str">
        <f>_xlfn.XLOOKUP(A14,Geraete__2[Gerätenummer],Geraete__2[Gerätetyp],"n/a",0)</f>
        <v>Drucker</v>
      </c>
      <c r="F14" s="1" t="str">
        <f>_xlfn.XLOOKUP(A14,Geraete__2[Gerätenummer],Geraete__2[Modell],"n/a",0)</f>
        <v>Canon Pixma</v>
      </c>
      <c r="G14" s="2">
        <f>_xlfn.XLOOKUP(A14,Geraete__2[Gerätenummer],Geraete__2[Kaufdatum],"n/a",0)</f>
        <v>44503</v>
      </c>
      <c r="H14" s="4">
        <f>_xlfn.XLOOKUP(A14,Geraete__2[Gerätenummer],Geraete__2[Netto-Kaufpreis],"n/a",0)</f>
        <v>82323</v>
      </c>
      <c r="I14" s="4" t="str">
        <f>_xlfn.XLOOKUP(A14,Geraete__2[Gerätenummer],Geraete__2[Standort],"n/a",0)</f>
        <v>Berlin</v>
      </c>
      <c r="J14" t="str">
        <f>_xlfn.XLOOKUP(B14,Mitarbeiter[Mitarbeiter-ID],Mitarbeiter[Name],"n/a",0)</f>
        <v>Eric Patberg B.Sc.</v>
      </c>
      <c r="K14" t="str">
        <f>_xlfn.XLOOKUP(B14,Mitarbeiter[Mitarbeiter-ID],Mitarbeiter[Abteilung],"n/a",0)</f>
        <v>Vertrieb</v>
      </c>
      <c r="L14" t="str">
        <f>_xlfn.XLOOKUP(B14,Mitarbeiter[Mitarbeiter-ID],Mitarbeiter[Standort],"n/a",0)</f>
        <v>Hamburg</v>
      </c>
    </row>
    <row r="15" spans="1:12" x14ac:dyDescent="0.2">
      <c r="A15" s="1" t="s">
        <v>15</v>
      </c>
      <c r="B15" s="6" t="s">
        <v>89</v>
      </c>
      <c r="C15" s="2">
        <v>45377</v>
      </c>
      <c r="D15" s="2">
        <v>45886</v>
      </c>
      <c r="E15" t="str">
        <f>_xlfn.XLOOKUP(A15,Geraete__2[Gerätenummer],Geraete__2[Gerätetyp],"n/a",0)</f>
        <v>Smartphone</v>
      </c>
      <c r="F15" s="1" t="str">
        <f>_xlfn.XLOOKUP(A15,Geraete__2[Gerätenummer],Geraete__2[Modell],"n/a",0)</f>
        <v>iPhone 13</v>
      </c>
      <c r="G15" s="2">
        <f>_xlfn.XLOOKUP(A15,Geraete__2[Gerätenummer],Geraete__2[Kaufdatum],"n/a",0)</f>
        <v>44824</v>
      </c>
      <c r="H15" s="4">
        <f>_xlfn.XLOOKUP(A15,Geraete__2[Gerätenummer],Geraete__2[Netto-Kaufpreis],"n/a",0)</f>
        <v>66144</v>
      </c>
      <c r="I15" s="4" t="str">
        <f>_xlfn.XLOOKUP(A15,Geraete__2[Gerätenummer],Geraete__2[Standort],"n/a",0)</f>
        <v>München</v>
      </c>
      <c r="J15" t="str">
        <f>_xlfn.XLOOKUP(B15,Mitarbeiter[Mitarbeiter-ID],Mitarbeiter[Name],"n/a",0)</f>
        <v>Carolin Hande</v>
      </c>
      <c r="K15" t="str">
        <f>_xlfn.XLOOKUP(B15,Mitarbeiter[Mitarbeiter-ID],Mitarbeiter[Abteilung],"n/a",0)</f>
        <v>IT</v>
      </c>
      <c r="L15" t="str">
        <f>_xlfn.XLOOKUP(B15,Mitarbeiter[Mitarbeiter-ID],Mitarbeiter[Standort],"n/a",0)</f>
        <v>Hamburg</v>
      </c>
    </row>
    <row r="16" spans="1:12" x14ac:dyDescent="0.2">
      <c r="A16" s="1" t="s">
        <v>9</v>
      </c>
      <c r="B16" s="6" t="s">
        <v>90</v>
      </c>
      <c r="C16" s="2">
        <v>45599</v>
      </c>
      <c r="D16" s="2"/>
      <c r="E16" t="str">
        <f>_xlfn.XLOOKUP(A16,Geraete__2[Gerätenummer],Geraete__2[Gerätetyp],"n/a",0)</f>
        <v>Drucker</v>
      </c>
      <c r="F16" s="1" t="str">
        <f>_xlfn.XLOOKUP(A16,Geraete__2[Gerätenummer],Geraete__2[Modell],"n/a",0)</f>
        <v>Canon Pixma</v>
      </c>
      <c r="G16" s="2">
        <f>_xlfn.XLOOKUP(A16,Geraete__2[Gerätenummer],Geraete__2[Kaufdatum],"n/a",0)</f>
        <v>44503</v>
      </c>
      <c r="H16" s="4">
        <f>_xlfn.XLOOKUP(A16,Geraete__2[Gerätenummer],Geraete__2[Netto-Kaufpreis],"n/a",0)</f>
        <v>82323</v>
      </c>
      <c r="I16" s="4" t="str">
        <f>_xlfn.XLOOKUP(A16,Geraete__2[Gerätenummer],Geraete__2[Standort],"n/a",0)</f>
        <v>Berlin</v>
      </c>
      <c r="J16" t="str">
        <f>_xlfn.XLOOKUP(B16,Mitarbeiter[Mitarbeiter-ID],Mitarbeiter[Name],"n/a",0)</f>
        <v>Ariane Klemt-Kaul</v>
      </c>
      <c r="K16" t="str">
        <f>_xlfn.XLOOKUP(B16,Mitarbeiter[Mitarbeiter-ID],Mitarbeiter[Abteilung],"n/a",0)</f>
        <v>IT</v>
      </c>
      <c r="L16" t="str">
        <f>_xlfn.XLOOKUP(B16,Mitarbeiter[Mitarbeiter-ID],Mitarbeiter[Standort],"n/a",0)</f>
        <v>München</v>
      </c>
    </row>
    <row r="17" spans="1:12" x14ac:dyDescent="0.2">
      <c r="A17" s="1" t="s">
        <v>15</v>
      </c>
      <c r="B17" s="6" t="s">
        <v>93</v>
      </c>
      <c r="C17" s="2">
        <v>45519</v>
      </c>
      <c r="D17" s="2"/>
      <c r="E17" t="str">
        <f>_xlfn.XLOOKUP(A17,Geraete__2[Gerätenummer],Geraete__2[Gerätetyp],"n/a",0)</f>
        <v>Smartphone</v>
      </c>
      <c r="F17" s="1" t="str">
        <f>_xlfn.XLOOKUP(A17,Geraete__2[Gerätenummer],Geraete__2[Modell],"n/a",0)</f>
        <v>iPhone 13</v>
      </c>
      <c r="G17" s="2">
        <f>_xlfn.XLOOKUP(A17,Geraete__2[Gerätenummer],Geraete__2[Kaufdatum],"n/a",0)</f>
        <v>44824</v>
      </c>
      <c r="H17" s="4">
        <f>_xlfn.XLOOKUP(A17,Geraete__2[Gerätenummer],Geraete__2[Netto-Kaufpreis],"n/a",0)</f>
        <v>66144</v>
      </c>
      <c r="I17" s="4" t="str">
        <f>_xlfn.XLOOKUP(A17,Geraete__2[Gerätenummer],Geraete__2[Standort],"n/a",0)</f>
        <v>München</v>
      </c>
      <c r="J17" t="str">
        <f>_xlfn.XLOOKUP(B17,Mitarbeiter[Mitarbeiter-ID],Mitarbeiter[Name],"n/a",0)</f>
        <v>Eleni Hauffer</v>
      </c>
      <c r="K17" t="str">
        <f>_xlfn.XLOOKUP(B17,Mitarbeiter[Mitarbeiter-ID],Mitarbeiter[Abteilung],"n/a",0)</f>
        <v>IT</v>
      </c>
      <c r="L17" t="str">
        <f>_xlfn.XLOOKUP(B17,Mitarbeiter[Mitarbeiter-ID],Mitarbeiter[Standort],"n/a",0)</f>
        <v>Berlin</v>
      </c>
    </row>
    <row r="18" spans="1:12" x14ac:dyDescent="0.2">
      <c r="A18" s="1" t="s">
        <v>16</v>
      </c>
      <c r="B18" s="6" t="s">
        <v>93</v>
      </c>
      <c r="C18" s="2">
        <v>45899</v>
      </c>
      <c r="D18" s="2">
        <v>45930</v>
      </c>
      <c r="E18" t="str">
        <f>_xlfn.XLOOKUP(A18,Geraete__2[Gerätenummer],Geraete__2[Gerätetyp],"n/a",0)</f>
        <v>Tablet</v>
      </c>
      <c r="F18" s="1" t="str">
        <f>_xlfn.XLOOKUP(A18,Geraete__2[Gerätenummer],Geraete__2[Modell],"n/a",0)</f>
        <v>iPad</v>
      </c>
      <c r="G18" s="2">
        <f>_xlfn.XLOOKUP(A18,Geraete__2[Gerätenummer],Geraete__2[Kaufdatum],"n/a",0)</f>
        <v>45524</v>
      </c>
      <c r="H18" s="4">
        <f>_xlfn.XLOOKUP(A18,Geraete__2[Gerätenummer],Geraete__2[Netto-Kaufpreis],"n/a",0)</f>
        <v>159198</v>
      </c>
      <c r="I18" s="4" t="str">
        <f>_xlfn.XLOOKUP(A18,Geraete__2[Gerätenummer],Geraete__2[Standort],"n/a",0)</f>
        <v>Hamburg</v>
      </c>
      <c r="J18" t="str">
        <f>_xlfn.XLOOKUP(B18,Mitarbeiter[Mitarbeiter-ID],Mitarbeiter[Name],"n/a",0)</f>
        <v>Eleni Hauffer</v>
      </c>
      <c r="K18" t="str">
        <f>_xlfn.XLOOKUP(B18,Mitarbeiter[Mitarbeiter-ID],Mitarbeiter[Abteilung],"n/a",0)</f>
        <v>IT</v>
      </c>
      <c r="L18" t="str">
        <f>_xlfn.XLOOKUP(B18,Mitarbeiter[Mitarbeiter-ID],Mitarbeiter[Standort],"n/a",0)</f>
        <v>Berlin</v>
      </c>
    </row>
    <row r="19" spans="1:12" x14ac:dyDescent="0.2">
      <c r="A19" s="1" t="s">
        <v>17</v>
      </c>
      <c r="B19" s="6" t="s">
        <v>91</v>
      </c>
      <c r="C19" s="2">
        <v>45568</v>
      </c>
      <c r="D19" s="2">
        <v>45623</v>
      </c>
      <c r="E19" t="str">
        <f>_xlfn.XLOOKUP(A19,Geraete__2[Gerätenummer],Geraete__2[Gerätetyp],"n/a",0)</f>
        <v>Tablet</v>
      </c>
      <c r="F19" s="1" t="str">
        <f>_xlfn.XLOOKUP(A19,Geraete__2[Gerätenummer],Geraete__2[Modell],"n/a",0)</f>
        <v>iPad</v>
      </c>
      <c r="G19" s="2">
        <f>_xlfn.XLOOKUP(A19,Geraete__2[Gerätenummer],Geraete__2[Kaufdatum],"n/a",0)</f>
        <v>44839</v>
      </c>
      <c r="H19" s="4">
        <f>_xlfn.XLOOKUP(A19,Geraete__2[Gerätenummer],Geraete__2[Netto-Kaufpreis],"n/a",0)</f>
        <v>168807</v>
      </c>
      <c r="I19" s="4" t="str">
        <f>_xlfn.XLOOKUP(A19,Geraete__2[Gerätenummer],Geraete__2[Standort],"n/a",0)</f>
        <v>München</v>
      </c>
      <c r="J19" t="str">
        <f>_xlfn.XLOOKUP(B19,Mitarbeiter[Mitarbeiter-ID],Mitarbeiter[Name],"n/a",0)</f>
        <v>Auguste Davids</v>
      </c>
      <c r="K19" t="str">
        <f>_xlfn.XLOOKUP(B19,Mitarbeiter[Mitarbeiter-ID],Mitarbeiter[Abteilung],"n/a",0)</f>
        <v>IT</v>
      </c>
      <c r="L19" t="str">
        <f>_xlfn.XLOOKUP(B19,Mitarbeiter[Mitarbeiter-ID],Mitarbeiter[Standort],"n/a",0)</f>
        <v>Hamburg</v>
      </c>
    </row>
    <row r="20" spans="1:12" x14ac:dyDescent="0.2">
      <c r="A20" s="1" t="s">
        <v>4</v>
      </c>
      <c r="B20" s="6" t="s">
        <v>95</v>
      </c>
      <c r="C20" s="2">
        <v>45417</v>
      </c>
      <c r="D20" s="2"/>
      <c r="E20" t="str">
        <f>_xlfn.XLOOKUP(A20,Geraete__2[Gerätenummer],Geraete__2[Gerätetyp],"n/a",0)</f>
        <v>Beamer</v>
      </c>
      <c r="F20" s="1" t="str">
        <f>_xlfn.XLOOKUP(A20,Geraete__2[Gerätenummer],Geraete__2[Modell],"n/a",0)</f>
        <v>BenQ MW550</v>
      </c>
      <c r="G20" s="2">
        <f>_xlfn.XLOOKUP(A20,Geraete__2[Gerätenummer],Geraete__2[Kaufdatum],"n/a",0)</f>
        <v>45294</v>
      </c>
      <c r="H20" s="4">
        <f>_xlfn.XLOOKUP(A20,Geraete__2[Gerätenummer],Geraete__2[Netto-Kaufpreis],"n/a",0)</f>
        <v>64454</v>
      </c>
      <c r="I20" s="4" t="str">
        <f>_xlfn.XLOOKUP(A20,Geraete__2[Gerätenummer],Geraete__2[Standort],"n/a",0)</f>
        <v>Berlin</v>
      </c>
      <c r="J20" t="str">
        <f>_xlfn.XLOOKUP(B20,Mitarbeiter[Mitarbeiter-ID],Mitarbeiter[Name],"n/a",0)</f>
        <v>Paul Dobes-Stiffel</v>
      </c>
      <c r="K20" t="str">
        <f>_xlfn.XLOOKUP(B20,Mitarbeiter[Mitarbeiter-ID],Mitarbeiter[Abteilung],"n/a",0)</f>
        <v>Produktion</v>
      </c>
      <c r="L20" t="str">
        <f>_xlfn.XLOOKUP(B20,Mitarbeiter[Mitarbeiter-ID],Mitarbeiter[Standort],"n/a",0)</f>
        <v>Hamburg</v>
      </c>
    </row>
    <row r="21" spans="1:12" x14ac:dyDescent="0.2">
      <c r="A21" s="1" t="s">
        <v>18</v>
      </c>
      <c r="B21" s="6" t="s">
        <v>92</v>
      </c>
      <c r="C21" s="2">
        <v>45320</v>
      </c>
      <c r="D21" s="2"/>
      <c r="E21" t="str">
        <f>_xlfn.XLOOKUP(A21,Geraete__2[Gerätenummer],Geraete__2[Gerätetyp],"n/a",0)</f>
        <v>Laptop</v>
      </c>
      <c r="F21" s="1" t="str">
        <f>_xlfn.XLOOKUP(A21,Geraete__2[Gerätenummer],Geraete__2[Modell],"n/a",0)</f>
        <v>HP EliteBook</v>
      </c>
      <c r="G21" s="2">
        <f>_xlfn.XLOOKUP(A21,Geraete__2[Gerätenummer],Geraete__2[Kaufdatum],"n/a",0)</f>
        <v>45775</v>
      </c>
      <c r="H21" s="4">
        <f>_xlfn.XLOOKUP(A21,Geraete__2[Gerätenummer],Geraete__2[Netto-Kaufpreis],"n/a",0)</f>
        <v>109562</v>
      </c>
      <c r="I21" s="4" t="str">
        <f>_xlfn.XLOOKUP(A21,Geraete__2[Gerätenummer],Geraete__2[Standort],"n/a",0)</f>
        <v>München</v>
      </c>
      <c r="J21" t="str">
        <f>_xlfn.XLOOKUP(B21,Mitarbeiter[Mitarbeiter-ID],Mitarbeiter[Name],"n/a",0)</f>
        <v>Klemens Löffler</v>
      </c>
      <c r="K21" t="str">
        <f>_xlfn.XLOOKUP(B21,Mitarbeiter[Mitarbeiter-ID],Mitarbeiter[Abteilung],"n/a",0)</f>
        <v>Vertrieb</v>
      </c>
      <c r="L21" t="str">
        <f>_xlfn.XLOOKUP(B21,Mitarbeiter[Mitarbeiter-ID],Mitarbeiter[Standort],"n/a",0)</f>
        <v>Hamburg</v>
      </c>
    </row>
    <row r="22" spans="1:12" x14ac:dyDescent="0.2">
      <c r="A22" s="1" t="s">
        <v>19</v>
      </c>
      <c r="B22" s="6" t="s">
        <v>92</v>
      </c>
      <c r="C22" s="2">
        <v>45403</v>
      </c>
      <c r="D22" s="2">
        <v>45839</v>
      </c>
      <c r="E22" t="str">
        <f>_xlfn.XLOOKUP(A22,Geraete__2[Gerätenummer],Geraete__2[Gerätetyp],"n/a",0)</f>
        <v>Monitor</v>
      </c>
      <c r="F22" s="1" t="str">
        <f>_xlfn.XLOOKUP(A22,Geraete__2[Gerätenummer],Geraete__2[Modell],"n/a",0)</f>
        <v>Samsung Curved</v>
      </c>
      <c r="G22" s="2">
        <f>_xlfn.XLOOKUP(A22,Geraete__2[Gerätenummer],Geraete__2[Kaufdatum],"n/a",0)</f>
        <v>44766</v>
      </c>
      <c r="H22" s="4">
        <f>_xlfn.XLOOKUP(A22,Geraete__2[Gerätenummer],Geraete__2[Netto-Kaufpreis],"n/a",0)</f>
        <v>50164</v>
      </c>
      <c r="I22" s="4" t="str">
        <f>_xlfn.XLOOKUP(A22,Geraete__2[Gerätenummer],Geraete__2[Standort],"n/a",0)</f>
        <v>München</v>
      </c>
      <c r="J22" t="str">
        <f>_xlfn.XLOOKUP(B22,Mitarbeiter[Mitarbeiter-ID],Mitarbeiter[Name],"n/a",0)</f>
        <v>Klemens Löffler</v>
      </c>
      <c r="K22" t="str">
        <f>_xlfn.XLOOKUP(B22,Mitarbeiter[Mitarbeiter-ID],Mitarbeiter[Abteilung],"n/a",0)</f>
        <v>Vertrieb</v>
      </c>
      <c r="L22" t="str">
        <f>_xlfn.XLOOKUP(B22,Mitarbeiter[Mitarbeiter-ID],Mitarbeiter[Standort],"n/a",0)</f>
        <v>Hamburg</v>
      </c>
    </row>
    <row r="23" spans="1:12" x14ac:dyDescent="0.2">
      <c r="A23" s="1" t="s">
        <v>12</v>
      </c>
      <c r="B23" s="6" t="s">
        <v>94</v>
      </c>
      <c r="C23" s="2">
        <v>45630</v>
      </c>
      <c r="D23" s="2">
        <v>45732</v>
      </c>
      <c r="E23" t="str">
        <f>_xlfn.XLOOKUP(A23,Geraete__2[Gerätenummer],Geraete__2[Gerätetyp],"n/a",0)</f>
        <v>Beamer</v>
      </c>
      <c r="F23" s="1" t="str">
        <f>_xlfn.XLOOKUP(A23,Geraete__2[Gerätenummer],Geraete__2[Modell],"n/a",0)</f>
        <v>Epson EB</v>
      </c>
      <c r="G23" s="2">
        <f>_xlfn.XLOOKUP(A23,Geraete__2[Gerätenummer],Geraete__2[Kaufdatum],"n/a",0)</f>
        <v>44945</v>
      </c>
      <c r="H23" s="4">
        <f>_xlfn.XLOOKUP(A23,Geraete__2[Gerätenummer],Geraete__2[Netto-Kaufpreis],"n/a",0)</f>
        <v>124658</v>
      </c>
      <c r="I23" s="4" t="str">
        <f>_xlfn.XLOOKUP(A23,Geraete__2[Gerätenummer],Geraete__2[Standort],"n/a",0)</f>
        <v>Hamburg</v>
      </c>
      <c r="J23" t="str">
        <f>_xlfn.XLOOKUP(B23,Mitarbeiter[Mitarbeiter-ID],Mitarbeiter[Name],"n/a",0)</f>
        <v>Eric Patberg B.Sc.</v>
      </c>
      <c r="K23" t="str">
        <f>_xlfn.XLOOKUP(B23,Mitarbeiter[Mitarbeiter-ID],Mitarbeiter[Abteilung],"n/a",0)</f>
        <v>Vertrieb</v>
      </c>
      <c r="L23" t="str">
        <f>_xlfn.XLOOKUP(B23,Mitarbeiter[Mitarbeiter-ID],Mitarbeiter[Standort],"n/a",0)</f>
        <v>Hamburg</v>
      </c>
    </row>
    <row r="24" spans="1:12" x14ac:dyDescent="0.2">
      <c r="A24" s="1" t="s">
        <v>20</v>
      </c>
      <c r="B24" s="6" t="s">
        <v>90</v>
      </c>
      <c r="C24" s="2">
        <v>45792</v>
      </c>
      <c r="D24" s="2">
        <v>45905</v>
      </c>
      <c r="E24" t="str">
        <f>_xlfn.XLOOKUP(A24,Geraete__2[Gerätenummer],Geraete__2[Gerätetyp],"n/a",0)</f>
        <v>Beamer</v>
      </c>
      <c r="F24" s="1" t="str">
        <f>_xlfn.XLOOKUP(A24,Geraete__2[Gerätenummer],Geraete__2[Modell],"n/a",0)</f>
        <v>Epson EB</v>
      </c>
      <c r="G24" s="2">
        <f>_xlfn.XLOOKUP(A24,Geraete__2[Gerätenummer],Geraete__2[Kaufdatum],"n/a",0)</f>
        <v>44647</v>
      </c>
      <c r="H24" s="4">
        <f>_xlfn.XLOOKUP(A24,Geraete__2[Gerätenummer],Geraete__2[Netto-Kaufpreis],"n/a",0)</f>
        <v>162976</v>
      </c>
      <c r="I24" s="4" t="str">
        <f>_xlfn.XLOOKUP(A24,Geraete__2[Gerätenummer],Geraete__2[Standort],"n/a",0)</f>
        <v>München</v>
      </c>
      <c r="J24" t="str">
        <f>_xlfn.XLOOKUP(B24,Mitarbeiter[Mitarbeiter-ID],Mitarbeiter[Name],"n/a",0)</f>
        <v>Ariane Klemt-Kaul</v>
      </c>
      <c r="K24" t="str">
        <f>_xlfn.XLOOKUP(B24,Mitarbeiter[Mitarbeiter-ID],Mitarbeiter[Abteilung],"n/a",0)</f>
        <v>IT</v>
      </c>
      <c r="L24" t="str">
        <f>_xlfn.XLOOKUP(B24,Mitarbeiter[Mitarbeiter-ID],Mitarbeiter[Standort],"n/a",0)</f>
        <v>München</v>
      </c>
    </row>
    <row r="25" spans="1:12" x14ac:dyDescent="0.2">
      <c r="A25" s="1" t="s">
        <v>21</v>
      </c>
      <c r="B25" s="6" t="s">
        <v>96</v>
      </c>
      <c r="C25" s="2">
        <v>45544</v>
      </c>
      <c r="D25" s="2">
        <v>45854</v>
      </c>
      <c r="E25" t="str">
        <f>_xlfn.XLOOKUP(A25,Geraete__2[Gerätenummer],Geraete__2[Gerätetyp],"n/a",0)</f>
        <v>Laptop</v>
      </c>
      <c r="F25" s="1" t="str">
        <f>_xlfn.XLOOKUP(A25,Geraete__2[Gerätenummer],Geraete__2[Modell],"n/a",0)</f>
        <v>Lenovo ThinkPad</v>
      </c>
      <c r="G25" s="2">
        <f>_xlfn.XLOOKUP(A25,Geraete__2[Gerätenummer],Geraete__2[Kaufdatum],"n/a",0)</f>
        <v>44360</v>
      </c>
      <c r="H25" s="4">
        <f>_xlfn.XLOOKUP(A25,Geraete__2[Gerätenummer],Geraete__2[Netto-Kaufpreis],"n/a",0)</f>
        <v>86909</v>
      </c>
      <c r="I25" s="4" t="str">
        <f>_xlfn.XLOOKUP(A25,Geraete__2[Gerätenummer],Geraete__2[Standort],"n/a",0)</f>
        <v>Hamburg</v>
      </c>
      <c r="J25" t="str">
        <f>_xlfn.XLOOKUP(B25,Mitarbeiter[Mitarbeiter-ID],Mitarbeiter[Name],"n/a",0)</f>
        <v>Aleksandr Weinhage</v>
      </c>
      <c r="K25" t="str">
        <f>_xlfn.XLOOKUP(B25,Mitarbeiter[Mitarbeiter-ID],Mitarbeiter[Abteilung],"n/a",0)</f>
        <v>IT</v>
      </c>
      <c r="L25" t="str">
        <f>_xlfn.XLOOKUP(B25,Mitarbeiter[Mitarbeiter-ID],Mitarbeiter[Standort],"n/a",0)</f>
        <v>Berlin</v>
      </c>
    </row>
    <row r="26" spans="1:12" x14ac:dyDescent="0.2">
      <c r="A26" s="1" t="s">
        <v>16</v>
      </c>
      <c r="B26" s="6" t="s">
        <v>93</v>
      </c>
      <c r="C26" s="2">
        <v>45493</v>
      </c>
      <c r="D26" s="2">
        <v>45663</v>
      </c>
      <c r="E26" t="str">
        <f>_xlfn.XLOOKUP(A26,Geraete__2[Gerätenummer],Geraete__2[Gerätetyp],"n/a",0)</f>
        <v>Tablet</v>
      </c>
      <c r="F26" s="1" t="str">
        <f>_xlfn.XLOOKUP(A26,Geraete__2[Gerätenummer],Geraete__2[Modell],"n/a",0)</f>
        <v>iPad</v>
      </c>
      <c r="G26" s="2">
        <f>_xlfn.XLOOKUP(A26,Geraete__2[Gerätenummer],Geraete__2[Kaufdatum],"n/a",0)</f>
        <v>45524</v>
      </c>
      <c r="H26" s="4">
        <f>_xlfn.XLOOKUP(A26,Geraete__2[Gerätenummer],Geraete__2[Netto-Kaufpreis],"n/a",0)</f>
        <v>159198</v>
      </c>
      <c r="I26" s="4" t="str">
        <f>_xlfn.XLOOKUP(A26,Geraete__2[Gerätenummer],Geraete__2[Standort],"n/a",0)</f>
        <v>Hamburg</v>
      </c>
      <c r="J26" t="str">
        <f>_xlfn.XLOOKUP(B26,Mitarbeiter[Mitarbeiter-ID],Mitarbeiter[Name],"n/a",0)</f>
        <v>Eleni Hauffer</v>
      </c>
      <c r="K26" t="str">
        <f>_xlfn.XLOOKUP(B26,Mitarbeiter[Mitarbeiter-ID],Mitarbeiter[Abteilung],"n/a",0)</f>
        <v>IT</v>
      </c>
      <c r="L26" t="str">
        <f>_xlfn.XLOOKUP(B26,Mitarbeiter[Mitarbeiter-ID],Mitarbeiter[Standort],"n/a",0)</f>
        <v>Berlin</v>
      </c>
    </row>
    <row r="27" spans="1:12" x14ac:dyDescent="0.2">
      <c r="A27" s="1" t="s">
        <v>13</v>
      </c>
      <c r="B27" s="6" t="s">
        <v>86</v>
      </c>
      <c r="C27" s="2">
        <v>45319</v>
      </c>
      <c r="D27" s="2">
        <v>45714</v>
      </c>
      <c r="E27" t="str">
        <f>_xlfn.XLOOKUP(A27,Geraete__2[Gerätenummer],Geraete__2[Gerätetyp],"n/a",0)</f>
        <v>Drucker</v>
      </c>
      <c r="F27" s="1" t="str">
        <f>_xlfn.XLOOKUP(A27,Geraete__2[Gerätenummer],Geraete__2[Modell],"n/a",0)</f>
        <v>Canon Pixma</v>
      </c>
      <c r="G27" s="2">
        <f>_xlfn.XLOOKUP(A27,Geraete__2[Gerätenummer],Geraete__2[Kaufdatum],"n/a",0)</f>
        <v>44332</v>
      </c>
      <c r="H27" s="4">
        <f>_xlfn.XLOOKUP(A27,Geraete__2[Gerätenummer],Geraete__2[Netto-Kaufpreis],"n/a",0)</f>
        <v>189865</v>
      </c>
      <c r="I27" s="4" t="str">
        <f>_xlfn.XLOOKUP(A27,Geraete__2[Gerätenummer],Geraete__2[Standort],"n/a",0)</f>
        <v>Hamburg</v>
      </c>
      <c r="J27" t="str">
        <f>_xlfn.XLOOKUP(B27,Mitarbeiter[Mitarbeiter-ID],Mitarbeiter[Name],"n/a",0)</f>
        <v>Univ.Prof. Heimo Karge</v>
      </c>
      <c r="K27" t="str">
        <f>_xlfn.XLOOKUP(B27,Mitarbeiter[Mitarbeiter-ID],Mitarbeiter[Abteilung],"n/a",0)</f>
        <v>Marketing</v>
      </c>
      <c r="L27" t="str">
        <f>_xlfn.XLOOKUP(B27,Mitarbeiter[Mitarbeiter-ID],Mitarbeiter[Standort],"n/a",0)</f>
        <v>Hamburg</v>
      </c>
    </row>
    <row r="28" spans="1:12" x14ac:dyDescent="0.2">
      <c r="A28" s="1" t="s">
        <v>12</v>
      </c>
      <c r="B28" s="6" t="s">
        <v>95</v>
      </c>
      <c r="C28" s="2">
        <v>45595</v>
      </c>
      <c r="D28" s="2">
        <v>45630</v>
      </c>
      <c r="E28" t="str">
        <f>_xlfn.XLOOKUP(A28,Geraete__2[Gerätenummer],Geraete__2[Gerätetyp],"n/a",0)</f>
        <v>Beamer</v>
      </c>
      <c r="F28" s="1" t="str">
        <f>_xlfn.XLOOKUP(A28,Geraete__2[Gerätenummer],Geraete__2[Modell],"n/a",0)</f>
        <v>Epson EB</v>
      </c>
      <c r="G28" s="2">
        <f>_xlfn.XLOOKUP(A28,Geraete__2[Gerätenummer],Geraete__2[Kaufdatum],"n/a",0)</f>
        <v>44945</v>
      </c>
      <c r="H28" s="4">
        <f>_xlfn.XLOOKUP(A28,Geraete__2[Gerätenummer],Geraete__2[Netto-Kaufpreis],"n/a",0)</f>
        <v>124658</v>
      </c>
      <c r="I28" s="4" t="str">
        <f>_xlfn.XLOOKUP(A28,Geraete__2[Gerätenummer],Geraete__2[Standort],"n/a",0)</f>
        <v>Hamburg</v>
      </c>
      <c r="J28" t="str">
        <f>_xlfn.XLOOKUP(B28,Mitarbeiter[Mitarbeiter-ID],Mitarbeiter[Name],"n/a",0)</f>
        <v>Paul Dobes-Stiffel</v>
      </c>
      <c r="K28" t="str">
        <f>_xlfn.XLOOKUP(B28,Mitarbeiter[Mitarbeiter-ID],Mitarbeiter[Abteilung],"n/a",0)</f>
        <v>Produktion</v>
      </c>
      <c r="L28" t="str">
        <f>_xlfn.XLOOKUP(B28,Mitarbeiter[Mitarbeiter-ID],Mitarbeiter[Standort],"n/a",0)</f>
        <v>Hamburg</v>
      </c>
    </row>
    <row r="29" spans="1:12" x14ac:dyDescent="0.2">
      <c r="A29" s="1" t="s">
        <v>7</v>
      </c>
      <c r="B29" s="6" t="s">
        <v>93</v>
      </c>
      <c r="C29" s="2">
        <v>45799</v>
      </c>
      <c r="D29" s="2">
        <v>45808</v>
      </c>
      <c r="E29" t="str">
        <f>_xlfn.XLOOKUP(A29,Geraete__2[Gerätenummer],Geraete__2[Gerätetyp],"n/a",0)</f>
        <v>Drucker</v>
      </c>
      <c r="F29" s="1" t="str">
        <f>_xlfn.XLOOKUP(A29,Geraete__2[Gerätenummer],Geraete__2[Modell],"n/a",0)</f>
        <v>Canon Pixma</v>
      </c>
      <c r="G29" s="2">
        <f>_xlfn.XLOOKUP(A29,Geraete__2[Gerätenummer],Geraete__2[Kaufdatum],"n/a",0)</f>
        <v>45015</v>
      </c>
      <c r="H29" s="4">
        <f>_xlfn.XLOOKUP(A29,Geraete__2[Gerätenummer],Geraete__2[Netto-Kaufpreis],"n/a",0)</f>
        <v>150106</v>
      </c>
      <c r="I29" s="4" t="str">
        <f>_xlfn.XLOOKUP(A29,Geraete__2[Gerätenummer],Geraete__2[Standort],"n/a",0)</f>
        <v>Berlin</v>
      </c>
      <c r="J29" t="str">
        <f>_xlfn.XLOOKUP(B29,Mitarbeiter[Mitarbeiter-ID],Mitarbeiter[Name],"n/a",0)</f>
        <v>Eleni Hauffer</v>
      </c>
      <c r="K29" t="str">
        <f>_xlfn.XLOOKUP(B29,Mitarbeiter[Mitarbeiter-ID],Mitarbeiter[Abteilung],"n/a",0)</f>
        <v>IT</v>
      </c>
      <c r="L29" t="str">
        <f>_xlfn.XLOOKUP(B29,Mitarbeiter[Mitarbeiter-ID],Mitarbeiter[Standort],"n/a",0)</f>
        <v>Berlin</v>
      </c>
    </row>
    <row r="30" spans="1:12" x14ac:dyDescent="0.2">
      <c r="A30" s="1" t="s">
        <v>21</v>
      </c>
      <c r="B30" s="6" t="s">
        <v>96</v>
      </c>
      <c r="C30" s="2">
        <v>45880</v>
      </c>
      <c r="D30" s="2"/>
      <c r="E30" t="str">
        <f>_xlfn.XLOOKUP(A30,Geraete__2[Gerätenummer],Geraete__2[Gerätetyp],"n/a",0)</f>
        <v>Laptop</v>
      </c>
      <c r="F30" s="1" t="str">
        <f>_xlfn.XLOOKUP(A30,Geraete__2[Gerätenummer],Geraete__2[Modell],"n/a",0)</f>
        <v>Lenovo ThinkPad</v>
      </c>
      <c r="G30" s="2">
        <f>_xlfn.XLOOKUP(A30,Geraete__2[Gerätenummer],Geraete__2[Kaufdatum],"n/a",0)</f>
        <v>44360</v>
      </c>
      <c r="H30" s="4">
        <f>_xlfn.XLOOKUP(A30,Geraete__2[Gerätenummer],Geraete__2[Netto-Kaufpreis],"n/a",0)</f>
        <v>86909</v>
      </c>
      <c r="I30" s="4" t="str">
        <f>_xlfn.XLOOKUP(A30,Geraete__2[Gerätenummer],Geraete__2[Standort],"n/a",0)</f>
        <v>Hamburg</v>
      </c>
      <c r="J30" t="str">
        <f>_xlfn.XLOOKUP(B30,Mitarbeiter[Mitarbeiter-ID],Mitarbeiter[Name],"n/a",0)</f>
        <v>Aleksandr Weinhage</v>
      </c>
      <c r="K30" t="str">
        <f>_xlfn.XLOOKUP(B30,Mitarbeiter[Mitarbeiter-ID],Mitarbeiter[Abteilung],"n/a",0)</f>
        <v>IT</v>
      </c>
      <c r="L30" t="str">
        <f>_xlfn.XLOOKUP(B30,Mitarbeiter[Mitarbeiter-ID],Mitarbeiter[Standort],"n/a",0)</f>
        <v>Berlin</v>
      </c>
    </row>
    <row r="31" spans="1:12" x14ac:dyDescent="0.2">
      <c r="A31" s="1" t="s">
        <v>4</v>
      </c>
      <c r="B31" s="6" t="s">
        <v>96</v>
      </c>
      <c r="C31" s="2">
        <v>45297</v>
      </c>
      <c r="D31" s="2"/>
      <c r="E31" t="str">
        <f>_xlfn.XLOOKUP(A31,Geraete__2[Gerätenummer],Geraete__2[Gerätetyp],"n/a",0)</f>
        <v>Beamer</v>
      </c>
      <c r="F31" s="1" t="str">
        <f>_xlfn.XLOOKUP(A31,Geraete__2[Gerätenummer],Geraete__2[Modell],"n/a",0)</f>
        <v>BenQ MW550</v>
      </c>
      <c r="G31" s="2">
        <f>_xlfn.XLOOKUP(A31,Geraete__2[Gerätenummer],Geraete__2[Kaufdatum],"n/a",0)</f>
        <v>45294</v>
      </c>
      <c r="H31" s="4">
        <f>_xlfn.XLOOKUP(A31,Geraete__2[Gerätenummer],Geraete__2[Netto-Kaufpreis],"n/a",0)</f>
        <v>64454</v>
      </c>
      <c r="I31" s="4" t="str">
        <f>_xlfn.XLOOKUP(A31,Geraete__2[Gerätenummer],Geraete__2[Standort],"n/a",0)</f>
        <v>Berlin</v>
      </c>
      <c r="J31" t="str">
        <f>_xlfn.XLOOKUP(B31,Mitarbeiter[Mitarbeiter-ID],Mitarbeiter[Name],"n/a",0)</f>
        <v>Aleksandr Weinhage</v>
      </c>
      <c r="K31" t="str">
        <f>_xlfn.XLOOKUP(B31,Mitarbeiter[Mitarbeiter-ID],Mitarbeiter[Abteilung],"n/a",0)</f>
        <v>IT</v>
      </c>
      <c r="L31" t="str">
        <f>_xlfn.XLOOKUP(B31,Mitarbeiter[Mitarbeiter-ID],Mitarbeiter[Standort],"n/a",0)</f>
        <v>Berlin</v>
      </c>
    </row>
    <row r="32" spans="1:12" x14ac:dyDescent="0.2">
      <c r="A32" s="1" t="s">
        <v>7</v>
      </c>
      <c r="B32" s="6" t="s">
        <v>95</v>
      </c>
      <c r="C32" s="2">
        <v>45330</v>
      </c>
      <c r="D32" s="2">
        <v>45817</v>
      </c>
      <c r="E32" t="str">
        <f>_xlfn.XLOOKUP(A32,Geraete__2[Gerätenummer],Geraete__2[Gerätetyp],"n/a",0)</f>
        <v>Drucker</v>
      </c>
      <c r="F32" s="1" t="str">
        <f>_xlfn.XLOOKUP(A32,Geraete__2[Gerätenummer],Geraete__2[Modell],"n/a",0)</f>
        <v>Canon Pixma</v>
      </c>
      <c r="G32" s="2">
        <f>_xlfn.XLOOKUP(A32,Geraete__2[Gerätenummer],Geraete__2[Kaufdatum],"n/a",0)</f>
        <v>45015</v>
      </c>
      <c r="H32" s="4">
        <f>_xlfn.XLOOKUP(A32,Geraete__2[Gerätenummer],Geraete__2[Netto-Kaufpreis],"n/a",0)</f>
        <v>150106</v>
      </c>
      <c r="I32" s="4" t="str">
        <f>_xlfn.XLOOKUP(A32,Geraete__2[Gerätenummer],Geraete__2[Standort],"n/a",0)</f>
        <v>Berlin</v>
      </c>
      <c r="J32" t="str">
        <f>_xlfn.XLOOKUP(B32,Mitarbeiter[Mitarbeiter-ID],Mitarbeiter[Name],"n/a",0)</f>
        <v>Paul Dobes-Stiffel</v>
      </c>
      <c r="K32" t="str">
        <f>_xlfn.XLOOKUP(B32,Mitarbeiter[Mitarbeiter-ID],Mitarbeiter[Abteilung],"n/a",0)</f>
        <v>Produktion</v>
      </c>
      <c r="L32" t="str">
        <f>_xlfn.XLOOKUP(B32,Mitarbeiter[Mitarbeiter-ID],Mitarbeiter[Standort],"n/a",0)</f>
        <v>Hamburg</v>
      </c>
    </row>
    <row r="33" spans="1:12" x14ac:dyDescent="0.2">
      <c r="A33" s="1" t="s">
        <v>18</v>
      </c>
      <c r="B33" s="6" t="s">
        <v>92</v>
      </c>
      <c r="C33" s="2">
        <v>45336</v>
      </c>
      <c r="D33" s="2"/>
      <c r="E33" t="str">
        <f>_xlfn.XLOOKUP(A33,Geraete__2[Gerätenummer],Geraete__2[Gerätetyp],"n/a",0)</f>
        <v>Laptop</v>
      </c>
      <c r="F33" s="1" t="str">
        <f>_xlfn.XLOOKUP(A33,Geraete__2[Gerätenummer],Geraete__2[Modell],"n/a",0)</f>
        <v>HP EliteBook</v>
      </c>
      <c r="G33" s="2">
        <f>_xlfn.XLOOKUP(A33,Geraete__2[Gerätenummer],Geraete__2[Kaufdatum],"n/a",0)</f>
        <v>45775</v>
      </c>
      <c r="H33" s="4">
        <f>_xlfn.XLOOKUP(A33,Geraete__2[Gerätenummer],Geraete__2[Netto-Kaufpreis],"n/a",0)</f>
        <v>109562</v>
      </c>
      <c r="I33" s="4" t="str">
        <f>_xlfn.XLOOKUP(A33,Geraete__2[Gerätenummer],Geraete__2[Standort],"n/a",0)</f>
        <v>München</v>
      </c>
      <c r="J33" t="str">
        <f>_xlfn.XLOOKUP(B33,Mitarbeiter[Mitarbeiter-ID],Mitarbeiter[Name],"n/a",0)</f>
        <v>Klemens Löffler</v>
      </c>
      <c r="K33" t="str">
        <f>_xlfn.XLOOKUP(B33,Mitarbeiter[Mitarbeiter-ID],Mitarbeiter[Abteilung],"n/a",0)</f>
        <v>Vertrieb</v>
      </c>
      <c r="L33" t="str">
        <f>_xlfn.XLOOKUP(B33,Mitarbeiter[Mitarbeiter-ID],Mitarbeiter[Standort],"n/a",0)</f>
        <v>Hamburg</v>
      </c>
    </row>
    <row r="34" spans="1:12" x14ac:dyDescent="0.2">
      <c r="A34" s="1" t="s">
        <v>22</v>
      </c>
      <c r="B34" s="6" t="s">
        <v>95</v>
      </c>
      <c r="C34" s="2">
        <v>45827</v>
      </c>
      <c r="D34" s="2">
        <v>45908</v>
      </c>
      <c r="E34" t="str">
        <f>_xlfn.XLOOKUP(A34,Geraete__2[Gerätenummer],Geraete__2[Gerätetyp],"n/a",0)</f>
        <v>Laptop</v>
      </c>
      <c r="F34" s="1" t="str">
        <f>_xlfn.XLOOKUP(A34,Geraete__2[Gerätenummer],Geraete__2[Modell],"n/a",0)</f>
        <v>Dell XPS</v>
      </c>
      <c r="G34" s="2">
        <f>_xlfn.XLOOKUP(A34,Geraete__2[Gerätenummer],Geraete__2[Kaufdatum],"n/a",0)</f>
        <v>45782</v>
      </c>
      <c r="H34" s="4">
        <f>_xlfn.XLOOKUP(A34,Geraete__2[Gerätenummer],Geraete__2[Netto-Kaufpreis],"n/a",0)</f>
        <v>100788</v>
      </c>
      <c r="I34" s="4" t="str">
        <f>_xlfn.XLOOKUP(A34,Geraete__2[Gerätenummer],Geraete__2[Standort],"n/a",0)</f>
        <v>München</v>
      </c>
      <c r="J34" t="str">
        <f>_xlfn.XLOOKUP(B34,Mitarbeiter[Mitarbeiter-ID],Mitarbeiter[Name],"n/a",0)</f>
        <v>Paul Dobes-Stiffel</v>
      </c>
      <c r="K34" t="str">
        <f>_xlfn.XLOOKUP(B34,Mitarbeiter[Mitarbeiter-ID],Mitarbeiter[Abteilung],"n/a",0)</f>
        <v>Produktion</v>
      </c>
      <c r="L34" t="str">
        <f>_xlfn.XLOOKUP(B34,Mitarbeiter[Mitarbeiter-ID],Mitarbeiter[Standort],"n/a",0)</f>
        <v>Hamburg</v>
      </c>
    </row>
    <row r="35" spans="1:12" x14ac:dyDescent="0.2">
      <c r="A35" s="1" t="s">
        <v>23</v>
      </c>
      <c r="B35" s="6" t="s">
        <v>88</v>
      </c>
      <c r="C35" s="2">
        <v>45675</v>
      </c>
      <c r="D35" s="2"/>
      <c r="E35" t="str">
        <f>_xlfn.XLOOKUP(A35,Geraete__2[Gerätenummer],Geraete__2[Gerätetyp],"n/a",0)</f>
        <v>Beamer</v>
      </c>
      <c r="F35" s="1" t="str">
        <f>_xlfn.XLOOKUP(A35,Geraete__2[Gerätenummer],Geraete__2[Modell],"n/a",0)</f>
        <v>Epson EB</v>
      </c>
      <c r="G35" s="2">
        <f>_xlfn.XLOOKUP(A35,Geraete__2[Gerätenummer],Geraete__2[Kaufdatum],"n/a",0)</f>
        <v>45266</v>
      </c>
      <c r="H35" s="4">
        <f>_xlfn.XLOOKUP(A35,Geraete__2[Gerätenummer],Geraete__2[Netto-Kaufpreis],"n/a",0)</f>
        <v>54546</v>
      </c>
      <c r="I35" s="4" t="str">
        <f>_xlfn.XLOOKUP(A35,Geraete__2[Gerätenummer],Geraete__2[Standort],"n/a",0)</f>
        <v>Berlin</v>
      </c>
      <c r="J35" t="str">
        <f>_xlfn.XLOOKUP(B35,Mitarbeiter[Mitarbeiter-ID],Mitarbeiter[Name],"n/a",0)</f>
        <v>Alexandre Davids</v>
      </c>
      <c r="K35" t="str">
        <f>_xlfn.XLOOKUP(B35,Mitarbeiter[Mitarbeiter-ID],Mitarbeiter[Abteilung],"n/a",0)</f>
        <v>Vertrieb</v>
      </c>
      <c r="L35" t="str">
        <f>_xlfn.XLOOKUP(B35,Mitarbeiter[Mitarbeiter-ID],Mitarbeiter[Standort],"n/a",0)</f>
        <v>Berlin</v>
      </c>
    </row>
    <row r="36" spans="1:12" x14ac:dyDescent="0.2">
      <c r="A36" s="1" t="s">
        <v>20</v>
      </c>
      <c r="B36" s="6" t="s">
        <v>88</v>
      </c>
      <c r="C36" s="2">
        <v>45261</v>
      </c>
      <c r="D36" s="2">
        <v>45559</v>
      </c>
      <c r="E36" t="str">
        <f>_xlfn.XLOOKUP(A36,Geraete__2[Gerätenummer],Geraete__2[Gerätetyp],"n/a",0)</f>
        <v>Beamer</v>
      </c>
      <c r="F36" s="1" t="str">
        <f>_xlfn.XLOOKUP(A36,Geraete__2[Gerätenummer],Geraete__2[Modell],"n/a",0)</f>
        <v>Epson EB</v>
      </c>
      <c r="G36" s="2">
        <f>_xlfn.XLOOKUP(A36,Geraete__2[Gerätenummer],Geraete__2[Kaufdatum],"n/a",0)</f>
        <v>44647</v>
      </c>
      <c r="H36" s="4">
        <f>_xlfn.XLOOKUP(A36,Geraete__2[Gerätenummer],Geraete__2[Netto-Kaufpreis],"n/a",0)</f>
        <v>162976</v>
      </c>
      <c r="I36" s="4" t="str">
        <f>_xlfn.XLOOKUP(A36,Geraete__2[Gerätenummer],Geraete__2[Standort],"n/a",0)</f>
        <v>München</v>
      </c>
      <c r="J36" t="str">
        <f>_xlfn.XLOOKUP(B36,Mitarbeiter[Mitarbeiter-ID],Mitarbeiter[Name],"n/a",0)</f>
        <v>Alexandre Davids</v>
      </c>
      <c r="K36" t="str">
        <f>_xlfn.XLOOKUP(B36,Mitarbeiter[Mitarbeiter-ID],Mitarbeiter[Abteilung],"n/a",0)</f>
        <v>Vertrieb</v>
      </c>
      <c r="L36" t="str">
        <f>_xlfn.XLOOKUP(B36,Mitarbeiter[Mitarbeiter-ID],Mitarbeiter[Standort],"n/a",0)</f>
        <v>Berlin</v>
      </c>
    </row>
    <row r="37" spans="1:12" x14ac:dyDescent="0.2">
      <c r="A37" s="1" t="s">
        <v>24</v>
      </c>
      <c r="B37" s="6" t="s">
        <v>95</v>
      </c>
      <c r="C37" s="2">
        <v>45508</v>
      </c>
      <c r="D37" s="2">
        <v>45871</v>
      </c>
      <c r="E37" t="str">
        <f>_xlfn.XLOOKUP(A37,Geraete__2[Gerätenummer],Geraete__2[Gerätetyp],"n/a",0)</f>
        <v>Laptop</v>
      </c>
      <c r="F37" s="1" t="str">
        <f>_xlfn.XLOOKUP(A37,Geraete__2[Gerätenummer],Geraete__2[Modell],"n/a",0)</f>
        <v>Lenovo ThinkPad</v>
      </c>
      <c r="G37" s="2">
        <f>_xlfn.XLOOKUP(A37,Geraete__2[Gerätenummer],Geraete__2[Kaufdatum],"n/a",0)</f>
        <v>44876</v>
      </c>
      <c r="H37" s="4">
        <f>_xlfn.XLOOKUP(A37,Geraete__2[Gerätenummer],Geraete__2[Netto-Kaufpreis],"n/a",0)</f>
        <v>180136</v>
      </c>
      <c r="I37" s="4" t="str">
        <f>_xlfn.XLOOKUP(A37,Geraete__2[Gerätenummer],Geraete__2[Standort],"n/a",0)</f>
        <v>München</v>
      </c>
      <c r="J37" t="str">
        <f>_xlfn.XLOOKUP(B37,Mitarbeiter[Mitarbeiter-ID],Mitarbeiter[Name],"n/a",0)</f>
        <v>Paul Dobes-Stiffel</v>
      </c>
      <c r="K37" t="str">
        <f>_xlfn.XLOOKUP(B37,Mitarbeiter[Mitarbeiter-ID],Mitarbeiter[Abteilung],"n/a",0)</f>
        <v>Produktion</v>
      </c>
      <c r="L37" t="str">
        <f>_xlfn.XLOOKUP(B37,Mitarbeiter[Mitarbeiter-ID],Mitarbeiter[Standort],"n/a",0)</f>
        <v>Hamburg</v>
      </c>
    </row>
    <row r="38" spans="1:12" x14ac:dyDescent="0.2">
      <c r="A38" s="1" t="s">
        <v>25</v>
      </c>
      <c r="B38" s="6" t="s">
        <v>96</v>
      </c>
      <c r="C38" s="2">
        <v>45622</v>
      </c>
      <c r="D38" s="2">
        <v>45719</v>
      </c>
      <c r="E38" t="str">
        <f>_xlfn.XLOOKUP(A38,Geraete__2[Gerätenummer],Geraete__2[Gerätetyp],"n/a",0)</f>
        <v>Laptop</v>
      </c>
      <c r="F38" s="1" t="str">
        <f>_xlfn.XLOOKUP(A38,Geraete__2[Gerätenummer],Geraete__2[Modell],"n/a",0)</f>
        <v>Lenovo ThinkPad</v>
      </c>
      <c r="G38" s="2">
        <f>_xlfn.XLOOKUP(A38,Geraete__2[Gerätenummer],Geraete__2[Kaufdatum],"n/a",0)</f>
        <v>44258</v>
      </c>
      <c r="H38" s="4">
        <f>_xlfn.XLOOKUP(A38,Geraete__2[Gerätenummer],Geraete__2[Netto-Kaufpreis],"n/a",0)</f>
        <v>141597</v>
      </c>
      <c r="I38" s="4" t="str">
        <f>_xlfn.XLOOKUP(A38,Geraete__2[Gerätenummer],Geraete__2[Standort],"n/a",0)</f>
        <v>Hamburg</v>
      </c>
      <c r="J38" t="str">
        <f>_xlfn.XLOOKUP(B38,Mitarbeiter[Mitarbeiter-ID],Mitarbeiter[Name],"n/a",0)</f>
        <v>Aleksandr Weinhage</v>
      </c>
      <c r="K38" t="str">
        <f>_xlfn.XLOOKUP(B38,Mitarbeiter[Mitarbeiter-ID],Mitarbeiter[Abteilung],"n/a",0)</f>
        <v>IT</v>
      </c>
      <c r="L38" t="str">
        <f>_xlfn.XLOOKUP(B38,Mitarbeiter[Mitarbeiter-ID],Mitarbeiter[Standort],"n/a",0)</f>
        <v>Berlin</v>
      </c>
    </row>
    <row r="39" spans="1:12" x14ac:dyDescent="0.2">
      <c r="A39" s="1" t="s">
        <v>4</v>
      </c>
      <c r="B39" s="6" t="s">
        <v>96</v>
      </c>
      <c r="C39" s="2">
        <v>45641</v>
      </c>
      <c r="D39" s="2"/>
      <c r="E39" t="str">
        <f>_xlfn.XLOOKUP(A39,Geraete__2[Gerätenummer],Geraete__2[Gerätetyp],"n/a",0)</f>
        <v>Beamer</v>
      </c>
      <c r="F39" s="1" t="str">
        <f>_xlfn.XLOOKUP(A39,Geraete__2[Gerätenummer],Geraete__2[Modell],"n/a",0)</f>
        <v>BenQ MW550</v>
      </c>
      <c r="G39" s="2">
        <f>_xlfn.XLOOKUP(A39,Geraete__2[Gerätenummer],Geraete__2[Kaufdatum],"n/a",0)</f>
        <v>45294</v>
      </c>
      <c r="H39" s="4">
        <f>_xlfn.XLOOKUP(A39,Geraete__2[Gerätenummer],Geraete__2[Netto-Kaufpreis],"n/a",0)</f>
        <v>64454</v>
      </c>
      <c r="I39" s="4" t="str">
        <f>_xlfn.XLOOKUP(A39,Geraete__2[Gerätenummer],Geraete__2[Standort],"n/a",0)</f>
        <v>Berlin</v>
      </c>
      <c r="J39" t="str">
        <f>_xlfn.XLOOKUP(B39,Mitarbeiter[Mitarbeiter-ID],Mitarbeiter[Name],"n/a",0)</f>
        <v>Aleksandr Weinhage</v>
      </c>
      <c r="K39" t="str">
        <f>_xlfn.XLOOKUP(B39,Mitarbeiter[Mitarbeiter-ID],Mitarbeiter[Abteilung],"n/a",0)</f>
        <v>IT</v>
      </c>
      <c r="L39" t="str">
        <f>_xlfn.XLOOKUP(B39,Mitarbeiter[Mitarbeiter-ID],Mitarbeiter[Standort],"n/a",0)</f>
        <v>Berlin</v>
      </c>
    </row>
    <row r="40" spans="1:12" x14ac:dyDescent="0.2">
      <c r="A40" s="1" t="s">
        <v>22</v>
      </c>
      <c r="B40" s="6" t="s">
        <v>96</v>
      </c>
      <c r="C40" s="2">
        <v>45880</v>
      </c>
      <c r="D40" s="2">
        <v>45881</v>
      </c>
      <c r="E40" t="str">
        <f>_xlfn.XLOOKUP(A40,Geraete__2[Gerätenummer],Geraete__2[Gerätetyp],"n/a",0)</f>
        <v>Laptop</v>
      </c>
      <c r="F40" s="1" t="str">
        <f>_xlfn.XLOOKUP(A40,Geraete__2[Gerätenummer],Geraete__2[Modell],"n/a",0)</f>
        <v>Dell XPS</v>
      </c>
      <c r="G40" s="2">
        <f>_xlfn.XLOOKUP(A40,Geraete__2[Gerätenummer],Geraete__2[Kaufdatum],"n/a",0)</f>
        <v>45782</v>
      </c>
      <c r="H40" s="4">
        <f>_xlfn.XLOOKUP(A40,Geraete__2[Gerätenummer],Geraete__2[Netto-Kaufpreis],"n/a",0)</f>
        <v>100788</v>
      </c>
      <c r="I40" s="4" t="str">
        <f>_xlfn.XLOOKUP(A40,Geraete__2[Gerätenummer],Geraete__2[Standort],"n/a",0)</f>
        <v>München</v>
      </c>
      <c r="J40" t="str">
        <f>_xlfn.XLOOKUP(B40,Mitarbeiter[Mitarbeiter-ID],Mitarbeiter[Name],"n/a",0)</f>
        <v>Aleksandr Weinhage</v>
      </c>
      <c r="K40" t="str">
        <f>_xlfn.XLOOKUP(B40,Mitarbeiter[Mitarbeiter-ID],Mitarbeiter[Abteilung],"n/a",0)</f>
        <v>IT</v>
      </c>
      <c r="L40" t="str">
        <f>_xlfn.XLOOKUP(B40,Mitarbeiter[Mitarbeiter-ID],Mitarbeiter[Standort],"n/a",0)</f>
        <v>Berlin</v>
      </c>
    </row>
    <row r="41" spans="1:12" x14ac:dyDescent="0.2">
      <c r="A41" s="1" t="s">
        <v>26</v>
      </c>
      <c r="B41" s="6" t="s">
        <v>86</v>
      </c>
      <c r="C41" s="2">
        <v>45740</v>
      </c>
      <c r="D41" s="2">
        <v>45784</v>
      </c>
      <c r="E41" t="str">
        <f>_xlfn.XLOOKUP(A41,Geraete__2[Gerätenummer],Geraete__2[Gerätetyp],"n/a",0)</f>
        <v>Beamer</v>
      </c>
      <c r="F41" s="1" t="str">
        <f>_xlfn.XLOOKUP(A41,Geraete__2[Gerätenummer],Geraete__2[Modell],"n/a",0)</f>
        <v>BenQ MW550</v>
      </c>
      <c r="G41" s="2">
        <f>_xlfn.XLOOKUP(A41,Geraete__2[Gerätenummer],Geraete__2[Kaufdatum],"n/a",0)</f>
        <v>44623</v>
      </c>
      <c r="H41" s="4">
        <f>_xlfn.XLOOKUP(A41,Geraete__2[Gerätenummer],Geraete__2[Netto-Kaufpreis],"n/a",0)</f>
        <v>121229</v>
      </c>
      <c r="I41" s="4" t="str">
        <f>_xlfn.XLOOKUP(A41,Geraete__2[Gerätenummer],Geraete__2[Standort],"n/a",0)</f>
        <v>Berlin</v>
      </c>
      <c r="J41" t="str">
        <f>_xlfn.XLOOKUP(B41,Mitarbeiter[Mitarbeiter-ID],Mitarbeiter[Name],"n/a",0)</f>
        <v>Univ.Prof. Heimo Karge</v>
      </c>
      <c r="K41" t="str">
        <f>_xlfn.XLOOKUP(B41,Mitarbeiter[Mitarbeiter-ID],Mitarbeiter[Abteilung],"n/a",0)</f>
        <v>Marketing</v>
      </c>
      <c r="L41" t="str">
        <f>_xlfn.XLOOKUP(B41,Mitarbeiter[Mitarbeiter-ID],Mitarbeiter[Standort],"n/a",0)</f>
        <v>Hamburg</v>
      </c>
    </row>
    <row r="42" spans="1:12" x14ac:dyDescent="0.2">
      <c r="A42" s="1" t="s">
        <v>26</v>
      </c>
      <c r="B42" s="6" t="s">
        <v>93</v>
      </c>
      <c r="C42" s="2">
        <v>45741</v>
      </c>
      <c r="D42" s="2"/>
      <c r="E42" t="str">
        <f>_xlfn.XLOOKUP(A42,Geraete__2[Gerätenummer],Geraete__2[Gerätetyp],"n/a",0)</f>
        <v>Beamer</v>
      </c>
      <c r="F42" s="1" t="str">
        <f>_xlfn.XLOOKUP(A42,Geraete__2[Gerätenummer],Geraete__2[Modell],"n/a",0)</f>
        <v>BenQ MW550</v>
      </c>
      <c r="G42" s="2">
        <f>_xlfn.XLOOKUP(A42,Geraete__2[Gerätenummer],Geraete__2[Kaufdatum],"n/a",0)</f>
        <v>44623</v>
      </c>
      <c r="H42" s="4">
        <f>_xlfn.XLOOKUP(A42,Geraete__2[Gerätenummer],Geraete__2[Netto-Kaufpreis],"n/a",0)</f>
        <v>121229</v>
      </c>
      <c r="I42" s="4" t="str">
        <f>_xlfn.XLOOKUP(A42,Geraete__2[Gerätenummer],Geraete__2[Standort],"n/a",0)</f>
        <v>Berlin</v>
      </c>
      <c r="J42" t="str">
        <f>_xlfn.XLOOKUP(B42,Mitarbeiter[Mitarbeiter-ID],Mitarbeiter[Name],"n/a",0)</f>
        <v>Eleni Hauffer</v>
      </c>
      <c r="K42" t="str">
        <f>_xlfn.XLOOKUP(B42,Mitarbeiter[Mitarbeiter-ID],Mitarbeiter[Abteilung],"n/a",0)</f>
        <v>IT</v>
      </c>
      <c r="L42" t="str">
        <f>_xlfn.XLOOKUP(B42,Mitarbeiter[Mitarbeiter-ID],Mitarbeiter[Standort],"n/a",0)</f>
        <v>Berlin</v>
      </c>
    </row>
    <row r="43" spans="1:12" x14ac:dyDescent="0.2">
      <c r="A43" s="1" t="s">
        <v>9</v>
      </c>
      <c r="B43" s="6" t="s">
        <v>89</v>
      </c>
      <c r="C43" s="2">
        <v>45899</v>
      </c>
      <c r="D43" s="2">
        <v>45925</v>
      </c>
      <c r="E43" t="str">
        <f>_xlfn.XLOOKUP(A43,Geraete__2[Gerätenummer],Geraete__2[Gerätetyp],"n/a",0)</f>
        <v>Drucker</v>
      </c>
      <c r="F43" s="1" t="str">
        <f>_xlfn.XLOOKUP(A43,Geraete__2[Gerätenummer],Geraete__2[Modell],"n/a",0)</f>
        <v>Canon Pixma</v>
      </c>
      <c r="G43" s="2">
        <f>_xlfn.XLOOKUP(A43,Geraete__2[Gerätenummer],Geraete__2[Kaufdatum],"n/a",0)</f>
        <v>44503</v>
      </c>
      <c r="H43" s="4">
        <f>_xlfn.XLOOKUP(A43,Geraete__2[Gerätenummer],Geraete__2[Netto-Kaufpreis],"n/a",0)</f>
        <v>82323</v>
      </c>
      <c r="I43" s="4" t="str">
        <f>_xlfn.XLOOKUP(A43,Geraete__2[Gerätenummer],Geraete__2[Standort],"n/a",0)</f>
        <v>Berlin</v>
      </c>
      <c r="J43" t="str">
        <f>_xlfn.XLOOKUP(B43,Mitarbeiter[Mitarbeiter-ID],Mitarbeiter[Name],"n/a",0)</f>
        <v>Carolin Hande</v>
      </c>
      <c r="K43" t="str">
        <f>_xlfn.XLOOKUP(B43,Mitarbeiter[Mitarbeiter-ID],Mitarbeiter[Abteilung],"n/a",0)</f>
        <v>IT</v>
      </c>
      <c r="L43" t="str">
        <f>_xlfn.XLOOKUP(B43,Mitarbeiter[Mitarbeiter-ID],Mitarbeiter[Standort],"n/a",0)</f>
        <v>Hamburg</v>
      </c>
    </row>
    <row r="44" spans="1:12" x14ac:dyDescent="0.2">
      <c r="A44" s="1" t="s">
        <v>7</v>
      </c>
      <c r="B44" s="6" t="s">
        <v>97</v>
      </c>
      <c r="C44" s="2">
        <v>45795</v>
      </c>
      <c r="D44" s="2">
        <v>45846</v>
      </c>
      <c r="E44" t="str">
        <f>_xlfn.XLOOKUP(A44,Geraete__2[Gerätenummer],Geraete__2[Gerätetyp],"n/a",0)</f>
        <v>Drucker</v>
      </c>
      <c r="F44" s="1" t="str">
        <f>_xlfn.XLOOKUP(A44,Geraete__2[Gerätenummer],Geraete__2[Modell],"n/a",0)</f>
        <v>Canon Pixma</v>
      </c>
      <c r="G44" s="2">
        <f>_xlfn.XLOOKUP(A44,Geraete__2[Gerätenummer],Geraete__2[Kaufdatum],"n/a",0)</f>
        <v>45015</v>
      </c>
      <c r="H44" s="4">
        <f>_xlfn.XLOOKUP(A44,Geraete__2[Gerätenummer],Geraete__2[Netto-Kaufpreis],"n/a",0)</f>
        <v>150106</v>
      </c>
      <c r="I44" s="4" t="str">
        <f>_xlfn.XLOOKUP(A44,Geraete__2[Gerätenummer],Geraete__2[Standort],"n/a",0)</f>
        <v>Berlin</v>
      </c>
      <c r="J44" t="str">
        <f>_xlfn.XLOOKUP(B44,Mitarbeiter[Mitarbeiter-ID],Mitarbeiter[Name],"n/a",0)</f>
        <v>Orhan Siering MBA.</v>
      </c>
      <c r="K44" t="str">
        <f>_xlfn.XLOOKUP(B44,Mitarbeiter[Mitarbeiter-ID],Mitarbeiter[Abteilung],"n/a",0)</f>
        <v>IT</v>
      </c>
      <c r="L44" t="str">
        <f>_xlfn.XLOOKUP(B44,Mitarbeiter[Mitarbeiter-ID],Mitarbeiter[Standort],"n/a",0)</f>
        <v>Berlin</v>
      </c>
    </row>
    <row r="45" spans="1:12" x14ac:dyDescent="0.2">
      <c r="A45" s="1" t="s">
        <v>7</v>
      </c>
      <c r="B45" s="6" t="s">
        <v>89</v>
      </c>
      <c r="C45" s="2">
        <v>45808</v>
      </c>
      <c r="D45" s="2">
        <v>45932</v>
      </c>
      <c r="E45" t="str">
        <f>_xlfn.XLOOKUP(A45,Geraete__2[Gerätenummer],Geraete__2[Gerätetyp],"n/a",0)</f>
        <v>Drucker</v>
      </c>
      <c r="F45" s="1" t="str">
        <f>_xlfn.XLOOKUP(A45,Geraete__2[Gerätenummer],Geraete__2[Modell],"n/a",0)</f>
        <v>Canon Pixma</v>
      </c>
      <c r="G45" s="2">
        <f>_xlfn.XLOOKUP(A45,Geraete__2[Gerätenummer],Geraete__2[Kaufdatum],"n/a",0)</f>
        <v>45015</v>
      </c>
      <c r="H45" s="4">
        <f>_xlfn.XLOOKUP(A45,Geraete__2[Gerätenummer],Geraete__2[Netto-Kaufpreis],"n/a",0)</f>
        <v>150106</v>
      </c>
      <c r="I45" s="4" t="str">
        <f>_xlfn.XLOOKUP(A45,Geraete__2[Gerätenummer],Geraete__2[Standort],"n/a",0)</f>
        <v>Berlin</v>
      </c>
      <c r="J45" t="str">
        <f>_xlfn.XLOOKUP(B45,Mitarbeiter[Mitarbeiter-ID],Mitarbeiter[Name],"n/a",0)</f>
        <v>Carolin Hande</v>
      </c>
      <c r="K45" t="str">
        <f>_xlfn.XLOOKUP(B45,Mitarbeiter[Mitarbeiter-ID],Mitarbeiter[Abteilung],"n/a",0)</f>
        <v>IT</v>
      </c>
      <c r="L45" t="str">
        <f>_xlfn.XLOOKUP(B45,Mitarbeiter[Mitarbeiter-ID],Mitarbeiter[Standort],"n/a",0)</f>
        <v>Hamburg</v>
      </c>
    </row>
    <row r="46" spans="1:12" x14ac:dyDescent="0.2">
      <c r="A46" s="1" t="s">
        <v>8</v>
      </c>
      <c r="B46" s="6" t="s">
        <v>97</v>
      </c>
      <c r="C46" s="2">
        <v>45476</v>
      </c>
      <c r="D46" s="2"/>
      <c r="E46" t="str">
        <f>_xlfn.XLOOKUP(A46,Geraete__2[Gerätenummer],Geraete__2[Gerätetyp],"n/a",0)</f>
        <v>Smartphone</v>
      </c>
      <c r="F46" s="1" t="str">
        <f>_xlfn.XLOOKUP(A46,Geraete__2[Gerätenummer],Geraete__2[Modell],"n/a",0)</f>
        <v>Samsung S21</v>
      </c>
      <c r="G46" s="2">
        <f>_xlfn.XLOOKUP(A46,Geraete__2[Gerätenummer],Geraete__2[Kaufdatum],"n/a",0)</f>
        <v>45292</v>
      </c>
      <c r="H46" s="4">
        <f>_xlfn.XLOOKUP(A46,Geraete__2[Gerätenummer],Geraete__2[Netto-Kaufpreis],"n/a",0)</f>
        <v>125796</v>
      </c>
      <c r="I46" s="4" t="str">
        <f>_xlfn.XLOOKUP(A46,Geraete__2[Gerätenummer],Geraete__2[Standort],"n/a",0)</f>
        <v>München</v>
      </c>
      <c r="J46" t="str">
        <f>_xlfn.XLOOKUP(B46,Mitarbeiter[Mitarbeiter-ID],Mitarbeiter[Name],"n/a",0)</f>
        <v>Orhan Siering MBA.</v>
      </c>
      <c r="K46" t="str">
        <f>_xlfn.XLOOKUP(B46,Mitarbeiter[Mitarbeiter-ID],Mitarbeiter[Abteilung],"n/a",0)</f>
        <v>IT</v>
      </c>
      <c r="L46" t="str">
        <f>_xlfn.XLOOKUP(B46,Mitarbeiter[Mitarbeiter-ID],Mitarbeiter[Standort],"n/a",0)</f>
        <v>Berlin</v>
      </c>
    </row>
  </sheetData>
  <phoneticPr fontId="1" type="noConversion"/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ECC2-DDF2-6C4D-891A-E71A8BD7A50F}">
  <dimension ref="A1:F36"/>
  <sheetViews>
    <sheetView workbookViewId="0">
      <selection activeCell="K24" sqref="K24"/>
    </sheetView>
  </sheetViews>
  <sheetFormatPr baseColWidth="10" defaultRowHeight="16" x14ac:dyDescent="0.2"/>
  <cols>
    <col min="1" max="1" width="16.33203125" bestFit="1" customWidth="1"/>
    <col min="2" max="2" width="11.83203125" bestFit="1" customWidth="1"/>
    <col min="3" max="3" width="14.5" bestFit="1" customWidth="1"/>
    <col min="4" max="4" width="12.83203125" bestFit="1" customWidth="1"/>
    <col min="5" max="5" width="17" style="3" bestFit="1" customWidth="1"/>
    <col min="6" max="6" width="10.6640625" bestFit="1" customWidth="1"/>
  </cols>
  <sheetData>
    <row r="1" spans="1:6" x14ac:dyDescent="0.2">
      <c r="A1" t="s">
        <v>0</v>
      </c>
      <c r="B1" t="s">
        <v>27</v>
      </c>
      <c r="C1" t="s">
        <v>28</v>
      </c>
      <c r="D1" t="s">
        <v>29</v>
      </c>
      <c r="E1" s="3" t="s">
        <v>30</v>
      </c>
      <c r="F1" t="s">
        <v>31</v>
      </c>
    </row>
    <row r="2" spans="1:6" x14ac:dyDescent="0.2">
      <c r="A2" s="1" t="s">
        <v>32</v>
      </c>
      <c r="B2" s="1" t="s">
        <v>33</v>
      </c>
      <c r="C2" s="1" t="s">
        <v>34</v>
      </c>
      <c r="D2" s="2">
        <v>44937</v>
      </c>
      <c r="E2" s="3">
        <v>134283</v>
      </c>
      <c r="F2" s="1" t="s">
        <v>35</v>
      </c>
    </row>
    <row r="3" spans="1:6" x14ac:dyDescent="0.2">
      <c r="A3" s="1" t="s">
        <v>36</v>
      </c>
      <c r="B3" s="1" t="s">
        <v>33</v>
      </c>
      <c r="C3" s="1" t="s">
        <v>37</v>
      </c>
      <c r="D3" s="2">
        <v>44250</v>
      </c>
      <c r="E3" s="3">
        <v>107618</v>
      </c>
      <c r="F3" s="1" t="s">
        <v>38</v>
      </c>
    </row>
    <row r="4" spans="1:6" x14ac:dyDescent="0.2">
      <c r="A4" s="1" t="s">
        <v>39</v>
      </c>
      <c r="B4" s="1" t="s">
        <v>33</v>
      </c>
      <c r="C4" s="1" t="s">
        <v>40</v>
      </c>
      <c r="D4" s="2">
        <v>45543</v>
      </c>
      <c r="E4" s="3">
        <v>193154</v>
      </c>
      <c r="F4" s="1" t="s">
        <v>38</v>
      </c>
    </row>
    <row r="5" spans="1:6" x14ac:dyDescent="0.2">
      <c r="A5" s="1" t="s">
        <v>22</v>
      </c>
      <c r="B5" s="1" t="s">
        <v>41</v>
      </c>
      <c r="C5" s="1" t="s">
        <v>42</v>
      </c>
      <c r="D5" s="2">
        <v>45782</v>
      </c>
      <c r="E5" s="3">
        <v>100788</v>
      </c>
      <c r="F5" s="1" t="s">
        <v>38</v>
      </c>
    </row>
    <row r="6" spans="1:6" x14ac:dyDescent="0.2">
      <c r="A6" s="1" t="s">
        <v>9</v>
      </c>
      <c r="B6" s="1" t="s">
        <v>43</v>
      </c>
      <c r="C6" s="1" t="s">
        <v>44</v>
      </c>
      <c r="D6" s="2">
        <v>44503</v>
      </c>
      <c r="E6" s="3">
        <v>82323</v>
      </c>
      <c r="F6" s="1" t="s">
        <v>35</v>
      </c>
    </row>
    <row r="7" spans="1:6" x14ac:dyDescent="0.2">
      <c r="A7" s="1" t="s">
        <v>8</v>
      </c>
      <c r="B7" s="1" t="s">
        <v>45</v>
      </c>
      <c r="C7" s="1" t="s">
        <v>46</v>
      </c>
      <c r="D7" s="2">
        <v>45292</v>
      </c>
      <c r="E7" s="3">
        <v>125796</v>
      </c>
      <c r="F7" s="1" t="s">
        <v>38</v>
      </c>
    </row>
    <row r="8" spans="1:6" x14ac:dyDescent="0.2">
      <c r="A8" s="1" t="s">
        <v>21</v>
      </c>
      <c r="B8" s="1" t="s">
        <v>41</v>
      </c>
      <c r="C8" s="1" t="s">
        <v>47</v>
      </c>
      <c r="D8" s="2">
        <v>44360</v>
      </c>
      <c r="E8" s="3">
        <v>86909</v>
      </c>
      <c r="F8" s="1" t="s">
        <v>48</v>
      </c>
    </row>
    <row r="9" spans="1:6" x14ac:dyDescent="0.2">
      <c r="A9" s="1" t="s">
        <v>49</v>
      </c>
      <c r="B9" s="1" t="s">
        <v>50</v>
      </c>
      <c r="C9" s="1" t="s">
        <v>51</v>
      </c>
      <c r="D9" s="2">
        <v>45831</v>
      </c>
      <c r="E9" s="3">
        <v>132376</v>
      </c>
      <c r="F9" s="1" t="s">
        <v>48</v>
      </c>
    </row>
    <row r="10" spans="1:6" x14ac:dyDescent="0.2">
      <c r="A10" s="1" t="s">
        <v>10</v>
      </c>
      <c r="B10" s="1" t="s">
        <v>41</v>
      </c>
      <c r="C10" s="1" t="s">
        <v>42</v>
      </c>
      <c r="D10" s="2">
        <v>45026</v>
      </c>
      <c r="E10" s="3">
        <v>145802</v>
      </c>
      <c r="F10" s="1" t="s">
        <v>38</v>
      </c>
    </row>
    <row r="11" spans="1:6" x14ac:dyDescent="0.2">
      <c r="A11" s="1" t="s">
        <v>52</v>
      </c>
      <c r="B11" s="1" t="s">
        <v>41</v>
      </c>
      <c r="C11" s="1" t="s">
        <v>42</v>
      </c>
      <c r="D11" s="2">
        <v>45239</v>
      </c>
      <c r="E11" s="3">
        <v>178637</v>
      </c>
      <c r="F11" s="1" t="s">
        <v>38</v>
      </c>
    </row>
    <row r="12" spans="1:6" x14ac:dyDescent="0.2">
      <c r="A12" s="1" t="s">
        <v>11</v>
      </c>
      <c r="B12" s="1" t="s">
        <v>43</v>
      </c>
      <c r="C12" s="1" t="s">
        <v>53</v>
      </c>
      <c r="D12" s="2">
        <v>45909</v>
      </c>
      <c r="E12" s="3">
        <v>14171</v>
      </c>
      <c r="F12" s="1" t="s">
        <v>38</v>
      </c>
    </row>
    <row r="13" spans="1:6" x14ac:dyDescent="0.2">
      <c r="A13" s="1" t="s">
        <v>54</v>
      </c>
      <c r="B13" s="1" t="s">
        <v>33</v>
      </c>
      <c r="C13" s="1" t="s">
        <v>34</v>
      </c>
      <c r="D13" s="2">
        <v>44713</v>
      </c>
      <c r="E13" s="3">
        <v>96843</v>
      </c>
      <c r="F13" s="1" t="s">
        <v>48</v>
      </c>
    </row>
    <row r="14" spans="1:6" x14ac:dyDescent="0.2">
      <c r="A14" s="1" t="s">
        <v>13</v>
      </c>
      <c r="B14" s="1" t="s">
        <v>43</v>
      </c>
      <c r="C14" s="1" t="s">
        <v>44</v>
      </c>
      <c r="D14" s="2">
        <v>44332</v>
      </c>
      <c r="E14" s="3">
        <v>189865</v>
      </c>
      <c r="F14" s="1" t="s">
        <v>48</v>
      </c>
    </row>
    <row r="15" spans="1:6" x14ac:dyDescent="0.2">
      <c r="A15" s="1" t="s">
        <v>25</v>
      </c>
      <c r="B15" s="1" t="s">
        <v>41</v>
      </c>
      <c r="C15" s="1" t="s">
        <v>47</v>
      </c>
      <c r="D15" s="2">
        <v>44258</v>
      </c>
      <c r="E15" s="3">
        <v>141597</v>
      </c>
      <c r="F15" s="1" t="s">
        <v>48</v>
      </c>
    </row>
    <row r="16" spans="1:6" x14ac:dyDescent="0.2">
      <c r="A16" s="1" t="s">
        <v>15</v>
      </c>
      <c r="B16" s="1" t="s">
        <v>45</v>
      </c>
      <c r="C16" s="1" t="s">
        <v>55</v>
      </c>
      <c r="D16" s="2">
        <v>44824</v>
      </c>
      <c r="E16" s="3">
        <v>66144</v>
      </c>
      <c r="F16" s="1" t="s">
        <v>38</v>
      </c>
    </row>
    <row r="17" spans="1:6" x14ac:dyDescent="0.2">
      <c r="A17" s="1" t="s">
        <v>7</v>
      </c>
      <c r="B17" s="1" t="s">
        <v>43</v>
      </c>
      <c r="C17" s="1" t="s">
        <v>44</v>
      </c>
      <c r="D17" s="2">
        <v>45015</v>
      </c>
      <c r="E17" s="3">
        <v>150106</v>
      </c>
      <c r="F17" s="1" t="s">
        <v>35</v>
      </c>
    </row>
    <row r="18" spans="1:6" x14ac:dyDescent="0.2">
      <c r="A18" s="1" t="s">
        <v>56</v>
      </c>
      <c r="B18" s="1" t="s">
        <v>45</v>
      </c>
      <c r="C18" s="1" t="s">
        <v>46</v>
      </c>
      <c r="D18" s="2">
        <v>44363</v>
      </c>
      <c r="E18" s="3">
        <v>174856</v>
      </c>
      <c r="F18" s="1" t="s">
        <v>35</v>
      </c>
    </row>
    <row r="19" spans="1:6" x14ac:dyDescent="0.2">
      <c r="A19" s="1" t="s">
        <v>17</v>
      </c>
      <c r="B19" s="1" t="s">
        <v>33</v>
      </c>
      <c r="C19" s="1" t="s">
        <v>40</v>
      </c>
      <c r="D19" s="2">
        <v>44839</v>
      </c>
      <c r="E19" s="3">
        <v>168807</v>
      </c>
      <c r="F19" s="1" t="s">
        <v>38</v>
      </c>
    </row>
    <row r="20" spans="1:6" x14ac:dyDescent="0.2">
      <c r="A20" s="1" t="s">
        <v>57</v>
      </c>
      <c r="B20" s="1" t="s">
        <v>43</v>
      </c>
      <c r="C20" s="1" t="s">
        <v>58</v>
      </c>
      <c r="D20" s="2">
        <v>44429</v>
      </c>
      <c r="E20" s="3">
        <v>73757</v>
      </c>
      <c r="F20" s="1" t="s">
        <v>48</v>
      </c>
    </row>
    <row r="21" spans="1:6" x14ac:dyDescent="0.2">
      <c r="A21" s="1" t="s">
        <v>59</v>
      </c>
      <c r="B21" s="1" t="s">
        <v>45</v>
      </c>
      <c r="C21" s="1" t="s">
        <v>46</v>
      </c>
      <c r="D21" s="2">
        <v>45297</v>
      </c>
      <c r="E21" s="3">
        <v>7402</v>
      </c>
      <c r="F21" s="1" t="s">
        <v>38</v>
      </c>
    </row>
    <row r="22" spans="1:6" x14ac:dyDescent="0.2">
      <c r="A22" s="1" t="s">
        <v>5</v>
      </c>
      <c r="B22" s="1" t="s">
        <v>60</v>
      </c>
      <c r="C22" s="1" t="s">
        <v>61</v>
      </c>
      <c r="D22" s="2">
        <v>44979</v>
      </c>
      <c r="E22" s="3">
        <v>113416</v>
      </c>
      <c r="F22" s="1" t="s">
        <v>38</v>
      </c>
    </row>
    <row r="23" spans="1:6" x14ac:dyDescent="0.2">
      <c r="A23" s="1" t="s">
        <v>16</v>
      </c>
      <c r="B23" s="1" t="s">
        <v>33</v>
      </c>
      <c r="C23" s="1" t="s">
        <v>40</v>
      </c>
      <c r="D23" s="2">
        <v>45524</v>
      </c>
      <c r="E23" s="3">
        <v>159198</v>
      </c>
      <c r="F23" s="1" t="s">
        <v>48</v>
      </c>
    </row>
    <row r="24" spans="1:6" x14ac:dyDescent="0.2">
      <c r="A24" s="1" t="s">
        <v>62</v>
      </c>
      <c r="B24" s="1" t="s">
        <v>43</v>
      </c>
      <c r="C24" s="1" t="s">
        <v>44</v>
      </c>
      <c r="D24" s="2">
        <v>45249</v>
      </c>
      <c r="E24" s="3">
        <v>133534</v>
      </c>
      <c r="F24" s="1" t="s">
        <v>48</v>
      </c>
    </row>
    <row r="25" spans="1:6" x14ac:dyDescent="0.2">
      <c r="A25" s="1" t="s">
        <v>6</v>
      </c>
      <c r="B25" s="1" t="s">
        <v>60</v>
      </c>
      <c r="C25" s="1" t="s">
        <v>63</v>
      </c>
      <c r="D25" s="2">
        <v>44621</v>
      </c>
      <c r="E25" s="3">
        <v>75091</v>
      </c>
      <c r="F25" s="1" t="s">
        <v>35</v>
      </c>
    </row>
    <row r="26" spans="1:6" x14ac:dyDescent="0.2">
      <c r="A26" s="1" t="s">
        <v>23</v>
      </c>
      <c r="B26" s="1" t="s">
        <v>50</v>
      </c>
      <c r="C26" s="1" t="s">
        <v>51</v>
      </c>
      <c r="D26" s="2">
        <v>45266</v>
      </c>
      <c r="E26" s="3">
        <v>54546</v>
      </c>
      <c r="F26" s="1" t="s">
        <v>35</v>
      </c>
    </row>
    <row r="27" spans="1:6" x14ac:dyDescent="0.2">
      <c r="A27" s="1" t="s">
        <v>64</v>
      </c>
      <c r="B27" s="1" t="s">
        <v>41</v>
      </c>
      <c r="C27" s="1" t="s">
        <v>42</v>
      </c>
      <c r="D27" s="2">
        <v>45219</v>
      </c>
      <c r="E27" s="3">
        <v>140391</v>
      </c>
      <c r="F27" s="1" t="s">
        <v>48</v>
      </c>
    </row>
    <row r="28" spans="1:6" x14ac:dyDescent="0.2">
      <c r="A28" s="1" t="s">
        <v>19</v>
      </c>
      <c r="B28" s="1" t="s">
        <v>60</v>
      </c>
      <c r="C28" s="1" t="s">
        <v>61</v>
      </c>
      <c r="D28" s="2">
        <v>44766</v>
      </c>
      <c r="E28" s="3">
        <v>50164</v>
      </c>
      <c r="F28" s="1" t="s">
        <v>38</v>
      </c>
    </row>
    <row r="29" spans="1:6" x14ac:dyDescent="0.2">
      <c r="A29" s="1" t="s">
        <v>12</v>
      </c>
      <c r="B29" s="1" t="s">
        <v>50</v>
      </c>
      <c r="C29" s="1" t="s">
        <v>51</v>
      </c>
      <c r="D29" s="2">
        <v>44945</v>
      </c>
      <c r="E29" s="3">
        <v>124658</v>
      </c>
      <c r="F29" s="1" t="s">
        <v>48</v>
      </c>
    </row>
    <row r="30" spans="1:6" x14ac:dyDescent="0.2">
      <c r="A30" s="1" t="s">
        <v>14</v>
      </c>
      <c r="B30" s="1" t="s">
        <v>41</v>
      </c>
      <c r="C30" s="1" t="s">
        <v>47</v>
      </c>
      <c r="D30" s="2">
        <v>44337</v>
      </c>
      <c r="E30" s="3">
        <v>155315</v>
      </c>
      <c r="F30" s="1" t="s">
        <v>48</v>
      </c>
    </row>
    <row r="31" spans="1:6" x14ac:dyDescent="0.2">
      <c r="A31" s="1" t="s">
        <v>20</v>
      </c>
      <c r="B31" s="1" t="s">
        <v>50</v>
      </c>
      <c r="C31" s="1" t="s">
        <v>51</v>
      </c>
      <c r="D31" s="2">
        <v>44647</v>
      </c>
      <c r="E31" s="3">
        <v>162976</v>
      </c>
      <c r="F31" s="1" t="s">
        <v>38</v>
      </c>
    </row>
    <row r="32" spans="1:6" x14ac:dyDescent="0.2">
      <c r="A32" s="1" t="s">
        <v>18</v>
      </c>
      <c r="B32" s="1" t="s">
        <v>41</v>
      </c>
      <c r="C32" s="1" t="s">
        <v>65</v>
      </c>
      <c r="D32" s="2">
        <v>45775</v>
      </c>
      <c r="E32" s="3">
        <v>109562</v>
      </c>
      <c r="F32" s="1" t="s">
        <v>38</v>
      </c>
    </row>
    <row r="33" spans="1:6" x14ac:dyDescent="0.2">
      <c r="A33" s="1" t="s">
        <v>24</v>
      </c>
      <c r="B33" s="1" t="s">
        <v>41</v>
      </c>
      <c r="C33" s="1" t="s">
        <v>47</v>
      </c>
      <c r="D33" s="2">
        <v>44876</v>
      </c>
      <c r="E33" s="3">
        <v>180136</v>
      </c>
      <c r="F33" s="1" t="s">
        <v>38</v>
      </c>
    </row>
    <row r="34" spans="1:6" x14ac:dyDescent="0.2">
      <c r="A34" s="1" t="s">
        <v>26</v>
      </c>
      <c r="B34" s="1" t="s">
        <v>50</v>
      </c>
      <c r="C34" s="1" t="s">
        <v>66</v>
      </c>
      <c r="D34" s="2">
        <v>44623</v>
      </c>
      <c r="E34" s="3">
        <v>121229</v>
      </c>
      <c r="F34" s="1" t="s">
        <v>35</v>
      </c>
    </row>
    <row r="35" spans="1:6" x14ac:dyDescent="0.2">
      <c r="A35" s="1" t="s">
        <v>67</v>
      </c>
      <c r="B35" s="1" t="s">
        <v>45</v>
      </c>
      <c r="C35" s="1" t="s">
        <v>46</v>
      </c>
      <c r="D35" s="2">
        <v>45552</v>
      </c>
      <c r="E35" s="3">
        <v>174667</v>
      </c>
      <c r="F35" s="1" t="s">
        <v>48</v>
      </c>
    </row>
    <row r="36" spans="1:6" x14ac:dyDescent="0.2">
      <c r="A36" s="1" t="s">
        <v>4</v>
      </c>
      <c r="B36" s="1" t="s">
        <v>50</v>
      </c>
      <c r="C36" s="1" t="s">
        <v>66</v>
      </c>
      <c r="D36" s="2">
        <v>45294</v>
      </c>
      <c r="E36" s="3">
        <v>64454</v>
      </c>
      <c r="F36" s="1" t="s">
        <v>35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3251E-0CE1-ED49-A96B-F28139FBC887}">
  <dimension ref="A1:E13"/>
  <sheetViews>
    <sheetView workbookViewId="0">
      <selection activeCell="B2" sqref="B2"/>
    </sheetView>
  </sheetViews>
  <sheetFormatPr baseColWidth="10" defaultRowHeight="16" x14ac:dyDescent="0.2"/>
  <cols>
    <col min="1" max="1" width="8" bestFit="1" customWidth="1"/>
    <col min="2" max="2" width="15.33203125" style="5" bestFit="1" customWidth="1"/>
    <col min="3" max="3" width="31.5" bestFit="1" customWidth="1"/>
    <col min="4" max="4" width="11.5" bestFit="1" customWidth="1"/>
    <col min="5" max="5" width="10.6640625" customWidth="1"/>
  </cols>
  <sheetData>
    <row r="1" spans="1:5" x14ac:dyDescent="0.2">
      <c r="A1" t="s">
        <v>98</v>
      </c>
      <c r="B1" s="5" t="s">
        <v>1</v>
      </c>
      <c r="C1" t="s">
        <v>68</v>
      </c>
      <c r="D1" t="s">
        <v>69</v>
      </c>
      <c r="E1" t="s">
        <v>31</v>
      </c>
    </row>
    <row r="2" spans="1:5" x14ac:dyDescent="0.2">
      <c r="A2">
        <v>0</v>
      </c>
      <c r="B2" s="5" t="s">
        <v>96</v>
      </c>
      <c r="C2" s="1" t="s">
        <v>70</v>
      </c>
      <c r="D2" s="1" t="s">
        <v>71</v>
      </c>
      <c r="E2" s="1" t="s">
        <v>35</v>
      </c>
    </row>
    <row r="3" spans="1:5" x14ac:dyDescent="0.2">
      <c r="A3">
        <v>1</v>
      </c>
      <c r="B3" s="5" t="s">
        <v>93</v>
      </c>
      <c r="C3" s="1" t="s">
        <v>72</v>
      </c>
      <c r="D3" s="1" t="s">
        <v>71</v>
      </c>
      <c r="E3" s="1" t="s">
        <v>35</v>
      </c>
    </row>
    <row r="4" spans="1:5" x14ac:dyDescent="0.2">
      <c r="A4">
        <v>2</v>
      </c>
      <c r="B4" s="5" t="s">
        <v>95</v>
      </c>
      <c r="C4" s="1" t="s">
        <v>73</v>
      </c>
      <c r="D4" s="1" t="s">
        <v>74</v>
      </c>
      <c r="E4" s="1" t="s">
        <v>48</v>
      </c>
    </row>
    <row r="5" spans="1:5" x14ac:dyDescent="0.2">
      <c r="A5">
        <v>3</v>
      </c>
      <c r="B5" s="5" t="s">
        <v>92</v>
      </c>
      <c r="C5" s="1" t="s">
        <v>75</v>
      </c>
      <c r="D5" s="1" t="s">
        <v>76</v>
      </c>
      <c r="E5" s="1" t="s">
        <v>48</v>
      </c>
    </row>
    <row r="6" spans="1:5" x14ac:dyDescent="0.2">
      <c r="A6">
        <v>4</v>
      </c>
      <c r="B6" s="5" t="s">
        <v>88</v>
      </c>
      <c r="C6" s="1" t="s">
        <v>77</v>
      </c>
      <c r="D6" s="1" t="s">
        <v>76</v>
      </c>
      <c r="E6" s="1" t="s">
        <v>35</v>
      </c>
    </row>
    <row r="7" spans="1:5" x14ac:dyDescent="0.2">
      <c r="A7">
        <v>5</v>
      </c>
      <c r="B7" s="5" t="s">
        <v>94</v>
      </c>
      <c r="C7" s="1" t="s">
        <v>78</v>
      </c>
      <c r="D7" s="1" t="s">
        <v>76</v>
      </c>
      <c r="E7" s="1" t="s">
        <v>48</v>
      </c>
    </row>
    <row r="8" spans="1:5" x14ac:dyDescent="0.2">
      <c r="A8">
        <v>6</v>
      </c>
      <c r="B8" s="5" t="s">
        <v>97</v>
      </c>
      <c r="C8" s="1" t="s">
        <v>79</v>
      </c>
      <c r="D8" s="1" t="s">
        <v>71</v>
      </c>
      <c r="E8" s="1" t="s">
        <v>35</v>
      </c>
    </row>
    <row r="9" spans="1:5" x14ac:dyDescent="0.2">
      <c r="A9">
        <v>7</v>
      </c>
      <c r="B9" s="5" t="s">
        <v>87</v>
      </c>
      <c r="C9" s="1" t="s">
        <v>80</v>
      </c>
      <c r="D9" s="1" t="s">
        <v>71</v>
      </c>
      <c r="E9" s="1" t="s">
        <v>48</v>
      </c>
    </row>
    <row r="10" spans="1:5" x14ac:dyDescent="0.2">
      <c r="A10">
        <v>8</v>
      </c>
      <c r="B10" s="5" t="s">
        <v>86</v>
      </c>
      <c r="C10" s="1" t="s">
        <v>81</v>
      </c>
      <c r="D10" s="1" t="s">
        <v>82</v>
      </c>
      <c r="E10" s="1" t="s">
        <v>48</v>
      </c>
    </row>
    <row r="11" spans="1:5" x14ac:dyDescent="0.2">
      <c r="A11">
        <v>9</v>
      </c>
      <c r="B11" s="5" t="s">
        <v>89</v>
      </c>
      <c r="C11" s="1" t="s">
        <v>83</v>
      </c>
      <c r="D11" s="1" t="s">
        <v>71</v>
      </c>
      <c r="E11" s="1" t="s">
        <v>48</v>
      </c>
    </row>
    <row r="12" spans="1:5" x14ac:dyDescent="0.2">
      <c r="A12">
        <v>10</v>
      </c>
      <c r="B12" s="5" t="s">
        <v>91</v>
      </c>
      <c r="C12" s="1" t="s">
        <v>84</v>
      </c>
      <c r="D12" s="1" t="s">
        <v>71</v>
      </c>
      <c r="E12" s="1" t="s">
        <v>48</v>
      </c>
    </row>
    <row r="13" spans="1:5" x14ac:dyDescent="0.2">
      <c r="A13">
        <v>11</v>
      </c>
      <c r="B13" s="5" t="s">
        <v>90</v>
      </c>
      <c r="C13" s="1" t="s">
        <v>85</v>
      </c>
      <c r="D13" s="1" t="s">
        <v>71</v>
      </c>
      <c r="E13" s="1" t="s">
        <v>38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DC076-EB3E-7648-A92B-D6A6B9EDA8A0}">
  <dimension ref="A1:B4"/>
  <sheetViews>
    <sheetView workbookViewId="0">
      <selection activeCell="A4" sqref="A4"/>
    </sheetView>
  </sheetViews>
  <sheetFormatPr baseColWidth="10" defaultRowHeight="16" x14ac:dyDescent="0.2"/>
  <cols>
    <col min="1" max="1" width="21.33203125" bestFit="1" customWidth="1"/>
    <col min="2" max="2" width="20" bestFit="1" customWidth="1"/>
  </cols>
  <sheetData>
    <row r="1" spans="1:2" x14ac:dyDescent="0.2">
      <c r="A1" s="7" t="s">
        <v>3</v>
      </c>
      <c r="B1" t="s">
        <v>104</v>
      </c>
    </row>
    <row r="3" spans="1:2" x14ac:dyDescent="0.2">
      <c r="A3" s="7" t="s">
        <v>102</v>
      </c>
    </row>
    <row r="4" spans="1:2" x14ac:dyDescent="0.2">
      <c r="A4" s="8" t="s">
        <v>103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FDE0C-02E8-1144-9619-D38484C3D78F}">
  <dimension ref="A1:L46"/>
  <sheetViews>
    <sheetView tabSelected="1" workbookViewId="0">
      <selection activeCell="P18" sqref="P18"/>
    </sheetView>
  </sheetViews>
  <sheetFormatPr baseColWidth="10" defaultRowHeight="16" x14ac:dyDescent="0.2"/>
  <cols>
    <col min="1" max="1" width="16.1640625" customWidth="1"/>
    <col min="2" max="2" width="15.1640625" customWidth="1"/>
    <col min="3" max="3" width="13.6640625" customWidth="1"/>
    <col min="4" max="4" width="14.6640625" customWidth="1"/>
    <col min="5" max="5" width="11.6640625" customWidth="1"/>
    <col min="7" max="7" width="12.6640625" customWidth="1"/>
    <col min="8" max="8" width="16.1640625" customWidth="1"/>
    <col min="11" max="11" width="11.33203125" customWidth="1"/>
    <col min="12" max="12" width="14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28</v>
      </c>
      <c r="G1" t="s">
        <v>29</v>
      </c>
      <c r="H1" t="s">
        <v>101</v>
      </c>
      <c r="I1" t="s">
        <v>31</v>
      </c>
      <c r="J1" t="s">
        <v>68</v>
      </c>
      <c r="K1" t="s">
        <v>69</v>
      </c>
      <c r="L1" t="s">
        <v>100</v>
      </c>
    </row>
    <row r="2" spans="1:12" x14ac:dyDescent="0.2">
      <c r="A2" t="s">
        <v>4</v>
      </c>
      <c r="B2" t="s">
        <v>86</v>
      </c>
      <c r="C2" s="2">
        <v>45421</v>
      </c>
      <c r="D2" s="2"/>
      <c r="E2" t="s">
        <v>50</v>
      </c>
      <c r="F2" t="s">
        <v>66</v>
      </c>
      <c r="G2" s="2">
        <v>45294</v>
      </c>
      <c r="H2" s="3">
        <v>64454</v>
      </c>
      <c r="I2" t="s">
        <v>35</v>
      </c>
      <c r="J2" t="s">
        <v>81</v>
      </c>
      <c r="K2" t="s">
        <v>82</v>
      </c>
      <c r="L2" t="s">
        <v>48</v>
      </c>
    </row>
    <row r="3" spans="1:12" x14ac:dyDescent="0.2">
      <c r="A3" t="s">
        <v>5</v>
      </c>
      <c r="B3" t="s">
        <v>87</v>
      </c>
      <c r="C3" s="2">
        <v>45930</v>
      </c>
      <c r="D3" s="2">
        <v>45935</v>
      </c>
      <c r="E3" t="s">
        <v>60</v>
      </c>
      <c r="F3" t="s">
        <v>61</v>
      </c>
      <c r="G3" s="2">
        <v>44979</v>
      </c>
      <c r="H3" s="3">
        <v>113416</v>
      </c>
      <c r="I3" t="s">
        <v>38</v>
      </c>
      <c r="J3" t="s">
        <v>80</v>
      </c>
      <c r="K3" t="s">
        <v>71</v>
      </c>
      <c r="L3" t="s">
        <v>48</v>
      </c>
    </row>
    <row r="4" spans="1:12" x14ac:dyDescent="0.2">
      <c r="A4" t="s">
        <v>6</v>
      </c>
      <c r="B4" t="s">
        <v>88</v>
      </c>
      <c r="C4" s="2">
        <v>45743</v>
      </c>
      <c r="D4" s="2">
        <v>45868</v>
      </c>
      <c r="E4" t="s">
        <v>60</v>
      </c>
      <c r="F4" t="s">
        <v>63</v>
      </c>
      <c r="G4" s="2">
        <v>44621</v>
      </c>
      <c r="H4" s="3">
        <v>75091</v>
      </c>
      <c r="I4" t="s">
        <v>35</v>
      </c>
      <c r="J4" t="s">
        <v>77</v>
      </c>
      <c r="K4" t="s">
        <v>76</v>
      </c>
      <c r="L4" t="s">
        <v>35</v>
      </c>
    </row>
    <row r="5" spans="1:12" x14ac:dyDescent="0.2">
      <c r="A5" t="s">
        <v>7</v>
      </c>
      <c r="B5" t="s">
        <v>89</v>
      </c>
      <c r="C5" s="2">
        <v>45866</v>
      </c>
      <c r="D5" s="2"/>
      <c r="E5" t="s">
        <v>43</v>
      </c>
      <c r="F5" t="s">
        <v>44</v>
      </c>
      <c r="G5" s="2">
        <v>45015</v>
      </c>
      <c r="H5" s="3">
        <v>150106</v>
      </c>
      <c r="I5" t="s">
        <v>35</v>
      </c>
      <c r="J5" t="s">
        <v>83</v>
      </c>
      <c r="K5" t="s">
        <v>71</v>
      </c>
      <c r="L5" t="s">
        <v>48</v>
      </c>
    </row>
    <row r="6" spans="1:12" x14ac:dyDescent="0.2">
      <c r="A6" t="s">
        <v>8</v>
      </c>
      <c r="B6" t="s">
        <v>90</v>
      </c>
      <c r="C6" s="2">
        <v>45808</v>
      </c>
      <c r="D6" s="2">
        <v>45818</v>
      </c>
      <c r="E6" t="s">
        <v>45</v>
      </c>
      <c r="F6" t="s">
        <v>46</v>
      </c>
      <c r="G6" s="2">
        <v>45292</v>
      </c>
      <c r="H6" s="3">
        <v>125796</v>
      </c>
      <c r="I6" t="s">
        <v>38</v>
      </c>
      <c r="J6" t="s">
        <v>85</v>
      </c>
      <c r="K6" t="s">
        <v>71</v>
      </c>
      <c r="L6" t="s">
        <v>38</v>
      </c>
    </row>
    <row r="7" spans="1:12" x14ac:dyDescent="0.2">
      <c r="A7" t="s">
        <v>9</v>
      </c>
      <c r="B7" t="s">
        <v>86</v>
      </c>
      <c r="C7" s="2">
        <v>45389</v>
      </c>
      <c r="D7" s="2"/>
      <c r="E7" t="s">
        <v>43</v>
      </c>
      <c r="F7" t="s">
        <v>44</v>
      </c>
      <c r="G7" s="2">
        <v>44503</v>
      </c>
      <c r="H7" s="3">
        <v>82323</v>
      </c>
      <c r="I7" t="s">
        <v>35</v>
      </c>
      <c r="J7" t="s">
        <v>81</v>
      </c>
      <c r="K7" t="s">
        <v>82</v>
      </c>
      <c r="L7" t="s">
        <v>48</v>
      </c>
    </row>
    <row r="8" spans="1:12" x14ac:dyDescent="0.2">
      <c r="A8" t="s">
        <v>10</v>
      </c>
      <c r="B8" t="s">
        <v>91</v>
      </c>
      <c r="C8" s="2">
        <v>45850</v>
      </c>
      <c r="D8" s="2">
        <v>45853</v>
      </c>
      <c r="E8" t="s">
        <v>41</v>
      </c>
      <c r="F8" t="s">
        <v>42</v>
      </c>
      <c r="G8" s="2">
        <v>45026</v>
      </c>
      <c r="H8" s="3">
        <v>145802</v>
      </c>
      <c r="I8" t="s">
        <v>38</v>
      </c>
      <c r="J8" t="s">
        <v>84</v>
      </c>
      <c r="K8" t="s">
        <v>71</v>
      </c>
      <c r="L8" t="s">
        <v>48</v>
      </c>
    </row>
    <row r="9" spans="1:12" x14ac:dyDescent="0.2">
      <c r="A9" t="s">
        <v>11</v>
      </c>
      <c r="B9" t="s">
        <v>88</v>
      </c>
      <c r="C9" s="2">
        <v>45837</v>
      </c>
      <c r="D9" s="2">
        <v>45898</v>
      </c>
      <c r="E9" t="s">
        <v>43</v>
      </c>
      <c r="F9" t="s">
        <v>53</v>
      </c>
      <c r="G9" s="2">
        <v>45909</v>
      </c>
      <c r="H9" s="3">
        <v>14171</v>
      </c>
      <c r="I9" t="s">
        <v>38</v>
      </c>
      <c r="J9" t="s">
        <v>77</v>
      </c>
      <c r="K9" t="s">
        <v>76</v>
      </c>
      <c r="L9" t="s">
        <v>35</v>
      </c>
    </row>
    <row r="10" spans="1:12" x14ac:dyDescent="0.2">
      <c r="A10" t="s">
        <v>12</v>
      </c>
      <c r="B10" t="s">
        <v>92</v>
      </c>
      <c r="C10" s="2">
        <v>45523</v>
      </c>
      <c r="D10" s="2"/>
      <c r="E10" t="s">
        <v>50</v>
      </c>
      <c r="F10" t="s">
        <v>51</v>
      </c>
      <c r="G10" s="2">
        <v>44945</v>
      </c>
      <c r="H10" s="3">
        <v>124658</v>
      </c>
      <c r="I10" t="s">
        <v>48</v>
      </c>
      <c r="J10" t="s">
        <v>75</v>
      </c>
      <c r="K10" t="s">
        <v>76</v>
      </c>
      <c r="L10" t="s">
        <v>48</v>
      </c>
    </row>
    <row r="11" spans="1:12" x14ac:dyDescent="0.2">
      <c r="A11" t="s">
        <v>13</v>
      </c>
      <c r="B11" t="s">
        <v>90</v>
      </c>
      <c r="C11" s="2">
        <v>45419</v>
      </c>
      <c r="D11" s="2">
        <v>45470</v>
      </c>
      <c r="E11" t="s">
        <v>43</v>
      </c>
      <c r="F11" t="s">
        <v>44</v>
      </c>
      <c r="G11" s="2">
        <v>44332</v>
      </c>
      <c r="H11" s="3">
        <v>189865</v>
      </c>
      <c r="I11" t="s">
        <v>48</v>
      </c>
      <c r="J11" t="s">
        <v>85</v>
      </c>
      <c r="K11" t="s">
        <v>71</v>
      </c>
      <c r="L11" t="s">
        <v>38</v>
      </c>
    </row>
    <row r="12" spans="1:12" x14ac:dyDescent="0.2">
      <c r="A12" t="s">
        <v>6</v>
      </c>
      <c r="B12" t="s">
        <v>87</v>
      </c>
      <c r="C12" s="2">
        <v>45375</v>
      </c>
      <c r="D12" s="2"/>
      <c r="E12" t="s">
        <v>60</v>
      </c>
      <c r="F12" t="s">
        <v>63</v>
      </c>
      <c r="G12" s="2">
        <v>44621</v>
      </c>
      <c r="H12" s="3">
        <v>75091</v>
      </c>
      <c r="I12" t="s">
        <v>35</v>
      </c>
      <c r="J12" t="s">
        <v>80</v>
      </c>
      <c r="K12" t="s">
        <v>71</v>
      </c>
      <c r="L12" t="s">
        <v>48</v>
      </c>
    </row>
    <row r="13" spans="1:12" x14ac:dyDescent="0.2">
      <c r="A13" t="s">
        <v>14</v>
      </c>
      <c r="B13" t="s">
        <v>93</v>
      </c>
      <c r="C13" s="2">
        <v>45921</v>
      </c>
      <c r="D13" s="2">
        <v>45934</v>
      </c>
      <c r="E13" t="s">
        <v>41</v>
      </c>
      <c r="F13" t="s">
        <v>47</v>
      </c>
      <c r="G13" s="2">
        <v>44337</v>
      </c>
      <c r="H13" s="3">
        <v>155315</v>
      </c>
      <c r="I13" t="s">
        <v>48</v>
      </c>
      <c r="J13" t="s">
        <v>72</v>
      </c>
      <c r="K13" t="s">
        <v>71</v>
      </c>
      <c r="L13" t="s">
        <v>35</v>
      </c>
    </row>
    <row r="14" spans="1:12" x14ac:dyDescent="0.2">
      <c r="A14" t="s">
        <v>9</v>
      </c>
      <c r="B14" t="s">
        <v>94</v>
      </c>
      <c r="C14" s="2">
        <v>45892</v>
      </c>
      <c r="D14" s="2">
        <v>45922</v>
      </c>
      <c r="E14" t="s">
        <v>43</v>
      </c>
      <c r="F14" t="s">
        <v>44</v>
      </c>
      <c r="G14" s="2">
        <v>44503</v>
      </c>
      <c r="H14" s="3">
        <v>82323</v>
      </c>
      <c r="I14" t="s">
        <v>35</v>
      </c>
      <c r="J14" t="s">
        <v>78</v>
      </c>
      <c r="K14" t="s">
        <v>76</v>
      </c>
      <c r="L14" t="s">
        <v>48</v>
      </c>
    </row>
    <row r="15" spans="1:12" x14ac:dyDescent="0.2">
      <c r="A15" t="s">
        <v>15</v>
      </c>
      <c r="B15" t="s">
        <v>89</v>
      </c>
      <c r="C15" s="2">
        <v>45377</v>
      </c>
      <c r="D15" s="2">
        <v>45886</v>
      </c>
      <c r="E15" t="s">
        <v>45</v>
      </c>
      <c r="F15" t="s">
        <v>55</v>
      </c>
      <c r="G15" s="2">
        <v>44824</v>
      </c>
      <c r="H15" s="3">
        <v>66144</v>
      </c>
      <c r="I15" t="s">
        <v>38</v>
      </c>
      <c r="J15" t="s">
        <v>83</v>
      </c>
      <c r="K15" t="s">
        <v>71</v>
      </c>
      <c r="L15" t="s">
        <v>48</v>
      </c>
    </row>
    <row r="16" spans="1:12" x14ac:dyDescent="0.2">
      <c r="A16" t="s">
        <v>9</v>
      </c>
      <c r="B16" t="s">
        <v>90</v>
      </c>
      <c r="C16" s="2">
        <v>45599</v>
      </c>
      <c r="D16" s="2"/>
      <c r="E16" t="s">
        <v>43</v>
      </c>
      <c r="F16" t="s">
        <v>44</v>
      </c>
      <c r="G16" s="2">
        <v>44503</v>
      </c>
      <c r="H16" s="3">
        <v>82323</v>
      </c>
      <c r="I16" t="s">
        <v>35</v>
      </c>
      <c r="J16" t="s">
        <v>85</v>
      </c>
      <c r="K16" t="s">
        <v>71</v>
      </c>
      <c r="L16" t="s">
        <v>38</v>
      </c>
    </row>
    <row r="17" spans="1:12" x14ac:dyDescent="0.2">
      <c r="A17" t="s">
        <v>15</v>
      </c>
      <c r="B17" t="s">
        <v>93</v>
      </c>
      <c r="C17" s="2">
        <v>45519</v>
      </c>
      <c r="D17" s="2"/>
      <c r="E17" t="s">
        <v>45</v>
      </c>
      <c r="F17" t="s">
        <v>55</v>
      </c>
      <c r="G17" s="2">
        <v>44824</v>
      </c>
      <c r="H17" s="3">
        <v>66144</v>
      </c>
      <c r="I17" t="s">
        <v>38</v>
      </c>
      <c r="J17" t="s">
        <v>72</v>
      </c>
      <c r="K17" t="s">
        <v>71</v>
      </c>
      <c r="L17" t="s">
        <v>35</v>
      </c>
    </row>
    <row r="18" spans="1:12" x14ac:dyDescent="0.2">
      <c r="A18" t="s">
        <v>16</v>
      </c>
      <c r="B18" t="s">
        <v>93</v>
      </c>
      <c r="C18" s="2">
        <v>45899</v>
      </c>
      <c r="D18" s="2">
        <v>45930</v>
      </c>
      <c r="E18" t="s">
        <v>33</v>
      </c>
      <c r="F18" t="s">
        <v>40</v>
      </c>
      <c r="G18" s="2">
        <v>45524</v>
      </c>
      <c r="H18" s="3">
        <v>159198</v>
      </c>
      <c r="I18" t="s">
        <v>48</v>
      </c>
      <c r="J18" t="s">
        <v>72</v>
      </c>
      <c r="K18" t="s">
        <v>71</v>
      </c>
      <c r="L18" t="s">
        <v>35</v>
      </c>
    </row>
    <row r="19" spans="1:12" x14ac:dyDescent="0.2">
      <c r="A19" t="s">
        <v>17</v>
      </c>
      <c r="B19" t="s">
        <v>91</v>
      </c>
      <c r="C19" s="2">
        <v>45568</v>
      </c>
      <c r="D19" s="2">
        <v>45623</v>
      </c>
      <c r="E19" t="s">
        <v>33</v>
      </c>
      <c r="F19" t="s">
        <v>40</v>
      </c>
      <c r="G19" s="2">
        <v>44839</v>
      </c>
      <c r="H19" s="3">
        <v>168807</v>
      </c>
      <c r="I19" t="s">
        <v>38</v>
      </c>
      <c r="J19" t="s">
        <v>84</v>
      </c>
      <c r="K19" t="s">
        <v>71</v>
      </c>
      <c r="L19" t="s">
        <v>48</v>
      </c>
    </row>
    <row r="20" spans="1:12" x14ac:dyDescent="0.2">
      <c r="A20" t="s">
        <v>4</v>
      </c>
      <c r="B20" t="s">
        <v>95</v>
      </c>
      <c r="C20" s="2">
        <v>45417</v>
      </c>
      <c r="D20" s="2"/>
      <c r="E20" t="s">
        <v>50</v>
      </c>
      <c r="F20" t="s">
        <v>66</v>
      </c>
      <c r="G20" s="2">
        <v>45294</v>
      </c>
      <c r="H20" s="3">
        <v>64454</v>
      </c>
      <c r="I20" t="s">
        <v>35</v>
      </c>
      <c r="J20" t="s">
        <v>73</v>
      </c>
      <c r="K20" t="s">
        <v>74</v>
      </c>
      <c r="L20" t="s">
        <v>48</v>
      </c>
    </row>
    <row r="21" spans="1:12" x14ac:dyDescent="0.2">
      <c r="A21" t="s">
        <v>18</v>
      </c>
      <c r="B21" t="s">
        <v>92</v>
      </c>
      <c r="C21" s="2">
        <v>45320</v>
      </c>
      <c r="D21" s="2"/>
      <c r="E21" t="s">
        <v>41</v>
      </c>
      <c r="F21" t="s">
        <v>65</v>
      </c>
      <c r="G21" s="2">
        <v>45775</v>
      </c>
      <c r="H21" s="3">
        <v>109562</v>
      </c>
      <c r="I21" t="s">
        <v>38</v>
      </c>
      <c r="J21" t="s">
        <v>75</v>
      </c>
      <c r="K21" t="s">
        <v>76</v>
      </c>
      <c r="L21" t="s">
        <v>48</v>
      </c>
    </row>
    <row r="22" spans="1:12" x14ac:dyDescent="0.2">
      <c r="A22" t="s">
        <v>19</v>
      </c>
      <c r="B22" t="s">
        <v>92</v>
      </c>
      <c r="C22" s="2">
        <v>45403</v>
      </c>
      <c r="D22" s="2">
        <v>45839</v>
      </c>
      <c r="E22" t="s">
        <v>60</v>
      </c>
      <c r="F22" t="s">
        <v>61</v>
      </c>
      <c r="G22" s="2">
        <v>44766</v>
      </c>
      <c r="H22" s="3">
        <v>50164</v>
      </c>
      <c r="I22" t="s">
        <v>38</v>
      </c>
      <c r="J22" t="s">
        <v>75</v>
      </c>
      <c r="K22" t="s">
        <v>76</v>
      </c>
      <c r="L22" t="s">
        <v>48</v>
      </c>
    </row>
    <row r="23" spans="1:12" x14ac:dyDescent="0.2">
      <c r="A23" t="s">
        <v>12</v>
      </c>
      <c r="B23" t="s">
        <v>94</v>
      </c>
      <c r="C23" s="2">
        <v>45630</v>
      </c>
      <c r="D23" s="2">
        <v>45732</v>
      </c>
      <c r="E23" t="s">
        <v>50</v>
      </c>
      <c r="F23" t="s">
        <v>51</v>
      </c>
      <c r="G23" s="2">
        <v>44945</v>
      </c>
      <c r="H23" s="3">
        <v>124658</v>
      </c>
      <c r="I23" t="s">
        <v>48</v>
      </c>
      <c r="J23" t="s">
        <v>78</v>
      </c>
      <c r="K23" t="s">
        <v>76</v>
      </c>
      <c r="L23" t="s">
        <v>48</v>
      </c>
    </row>
    <row r="24" spans="1:12" x14ac:dyDescent="0.2">
      <c r="A24" t="s">
        <v>20</v>
      </c>
      <c r="B24" t="s">
        <v>90</v>
      </c>
      <c r="C24" s="2">
        <v>45792</v>
      </c>
      <c r="D24" s="2">
        <v>45905</v>
      </c>
      <c r="E24" t="s">
        <v>50</v>
      </c>
      <c r="F24" t="s">
        <v>51</v>
      </c>
      <c r="G24" s="2">
        <v>44647</v>
      </c>
      <c r="H24" s="3">
        <v>162976</v>
      </c>
      <c r="I24" t="s">
        <v>38</v>
      </c>
      <c r="J24" t="s">
        <v>85</v>
      </c>
      <c r="K24" t="s">
        <v>71</v>
      </c>
      <c r="L24" t="s">
        <v>38</v>
      </c>
    </row>
    <row r="25" spans="1:12" x14ac:dyDescent="0.2">
      <c r="A25" t="s">
        <v>21</v>
      </c>
      <c r="B25" t="s">
        <v>96</v>
      </c>
      <c r="C25" s="2">
        <v>45544</v>
      </c>
      <c r="D25" s="2">
        <v>45854</v>
      </c>
      <c r="E25" t="s">
        <v>41</v>
      </c>
      <c r="F25" t="s">
        <v>47</v>
      </c>
      <c r="G25" s="2">
        <v>44360</v>
      </c>
      <c r="H25" s="3">
        <v>86909</v>
      </c>
      <c r="I25" t="s">
        <v>48</v>
      </c>
      <c r="J25" t="s">
        <v>70</v>
      </c>
      <c r="K25" t="s">
        <v>71</v>
      </c>
      <c r="L25" t="s">
        <v>35</v>
      </c>
    </row>
    <row r="26" spans="1:12" x14ac:dyDescent="0.2">
      <c r="A26" t="s">
        <v>16</v>
      </c>
      <c r="B26" t="s">
        <v>93</v>
      </c>
      <c r="C26" s="2">
        <v>45493</v>
      </c>
      <c r="D26" s="2">
        <v>45663</v>
      </c>
      <c r="E26" t="s">
        <v>33</v>
      </c>
      <c r="F26" t="s">
        <v>40</v>
      </c>
      <c r="G26" s="2">
        <v>45524</v>
      </c>
      <c r="H26" s="3">
        <v>159198</v>
      </c>
      <c r="I26" t="s">
        <v>48</v>
      </c>
      <c r="J26" t="s">
        <v>72</v>
      </c>
      <c r="K26" t="s">
        <v>71</v>
      </c>
      <c r="L26" t="s">
        <v>35</v>
      </c>
    </row>
    <row r="27" spans="1:12" x14ac:dyDescent="0.2">
      <c r="A27" t="s">
        <v>13</v>
      </c>
      <c r="B27" t="s">
        <v>86</v>
      </c>
      <c r="C27" s="2">
        <v>45319</v>
      </c>
      <c r="D27" s="2">
        <v>45714</v>
      </c>
      <c r="E27" t="s">
        <v>43</v>
      </c>
      <c r="F27" t="s">
        <v>44</v>
      </c>
      <c r="G27" s="2">
        <v>44332</v>
      </c>
      <c r="H27" s="3">
        <v>189865</v>
      </c>
      <c r="I27" t="s">
        <v>48</v>
      </c>
      <c r="J27" t="s">
        <v>81</v>
      </c>
      <c r="K27" t="s">
        <v>82</v>
      </c>
      <c r="L27" t="s">
        <v>48</v>
      </c>
    </row>
    <row r="28" spans="1:12" x14ac:dyDescent="0.2">
      <c r="A28" t="s">
        <v>12</v>
      </c>
      <c r="B28" t="s">
        <v>95</v>
      </c>
      <c r="C28" s="2">
        <v>45595</v>
      </c>
      <c r="D28" s="2">
        <v>45630</v>
      </c>
      <c r="E28" t="s">
        <v>50</v>
      </c>
      <c r="F28" t="s">
        <v>51</v>
      </c>
      <c r="G28" s="2">
        <v>44945</v>
      </c>
      <c r="H28" s="3">
        <v>124658</v>
      </c>
      <c r="I28" t="s">
        <v>48</v>
      </c>
      <c r="J28" t="s">
        <v>73</v>
      </c>
      <c r="K28" t="s">
        <v>74</v>
      </c>
      <c r="L28" t="s">
        <v>48</v>
      </c>
    </row>
    <row r="29" spans="1:12" x14ac:dyDescent="0.2">
      <c r="A29" t="s">
        <v>7</v>
      </c>
      <c r="B29" t="s">
        <v>93</v>
      </c>
      <c r="C29" s="2">
        <v>45799</v>
      </c>
      <c r="D29" s="2">
        <v>45808</v>
      </c>
      <c r="E29" t="s">
        <v>43</v>
      </c>
      <c r="F29" t="s">
        <v>44</v>
      </c>
      <c r="G29" s="2">
        <v>45015</v>
      </c>
      <c r="H29" s="3">
        <v>150106</v>
      </c>
      <c r="I29" t="s">
        <v>35</v>
      </c>
      <c r="J29" t="s">
        <v>72</v>
      </c>
      <c r="K29" t="s">
        <v>71</v>
      </c>
      <c r="L29" t="s">
        <v>35</v>
      </c>
    </row>
    <row r="30" spans="1:12" x14ac:dyDescent="0.2">
      <c r="A30" t="s">
        <v>21</v>
      </c>
      <c r="B30" t="s">
        <v>96</v>
      </c>
      <c r="C30" s="2">
        <v>45880</v>
      </c>
      <c r="D30" s="2"/>
      <c r="E30" t="s">
        <v>41</v>
      </c>
      <c r="F30" t="s">
        <v>47</v>
      </c>
      <c r="G30" s="2">
        <v>44360</v>
      </c>
      <c r="H30" s="3">
        <v>86909</v>
      </c>
      <c r="I30" t="s">
        <v>48</v>
      </c>
      <c r="J30" t="s">
        <v>70</v>
      </c>
      <c r="K30" t="s">
        <v>71</v>
      </c>
      <c r="L30" t="s">
        <v>35</v>
      </c>
    </row>
    <row r="31" spans="1:12" x14ac:dyDescent="0.2">
      <c r="A31" t="s">
        <v>4</v>
      </c>
      <c r="B31" t="s">
        <v>96</v>
      </c>
      <c r="C31" s="2">
        <v>45297</v>
      </c>
      <c r="D31" s="2"/>
      <c r="E31" t="s">
        <v>50</v>
      </c>
      <c r="F31" t="s">
        <v>66</v>
      </c>
      <c r="G31" s="2">
        <v>45294</v>
      </c>
      <c r="H31" s="3">
        <v>64454</v>
      </c>
      <c r="I31" t="s">
        <v>35</v>
      </c>
      <c r="J31" t="s">
        <v>70</v>
      </c>
      <c r="K31" t="s">
        <v>71</v>
      </c>
      <c r="L31" t="s">
        <v>35</v>
      </c>
    </row>
    <row r="32" spans="1:12" x14ac:dyDescent="0.2">
      <c r="A32" t="s">
        <v>7</v>
      </c>
      <c r="B32" t="s">
        <v>95</v>
      </c>
      <c r="C32" s="2">
        <v>45330</v>
      </c>
      <c r="D32" s="2">
        <v>45817</v>
      </c>
      <c r="E32" t="s">
        <v>43</v>
      </c>
      <c r="F32" t="s">
        <v>44</v>
      </c>
      <c r="G32" s="2">
        <v>45015</v>
      </c>
      <c r="H32" s="3">
        <v>150106</v>
      </c>
      <c r="I32" t="s">
        <v>35</v>
      </c>
      <c r="J32" t="s">
        <v>73</v>
      </c>
      <c r="K32" t="s">
        <v>74</v>
      </c>
      <c r="L32" t="s">
        <v>48</v>
      </c>
    </row>
    <row r="33" spans="1:12" x14ac:dyDescent="0.2">
      <c r="A33" t="s">
        <v>18</v>
      </c>
      <c r="B33" t="s">
        <v>92</v>
      </c>
      <c r="C33" s="2">
        <v>45336</v>
      </c>
      <c r="D33" s="2"/>
      <c r="E33" t="s">
        <v>41</v>
      </c>
      <c r="F33" t="s">
        <v>65</v>
      </c>
      <c r="G33" s="2">
        <v>45775</v>
      </c>
      <c r="H33" s="3">
        <v>109562</v>
      </c>
      <c r="I33" t="s">
        <v>38</v>
      </c>
      <c r="J33" t="s">
        <v>75</v>
      </c>
      <c r="K33" t="s">
        <v>76</v>
      </c>
      <c r="L33" t="s">
        <v>48</v>
      </c>
    </row>
    <row r="34" spans="1:12" x14ac:dyDescent="0.2">
      <c r="A34" t="s">
        <v>22</v>
      </c>
      <c r="B34" t="s">
        <v>95</v>
      </c>
      <c r="C34" s="2">
        <v>45827</v>
      </c>
      <c r="D34" s="2">
        <v>45908</v>
      </c>
      <c r="E34" t="s">
        <v>41</v>
      </c>
      <c r="F34" t="s">
        <v>42</v>
      </c>
      <c r="G34" s="2">
        <v>45782</v>
      </c>
      <c r="H34" s="3">
        <v>100788</v>
      </c>
      <c r="I34" t="s">
        <v>38</v>
      </c>
      <c r="J34" t="s">
        <v>73</v>
      </c>
      <c r="K34" t="s">
        <v>74</v>
      </c>
      <c r="L34" t="s">
        <v>48</v>
      </c>
    </row>
    <row r="35" spans="1:12" x14ac:dyDescent="0.2">
      <c r="A35" t="s">
        <v>23</v>
      </c>
      <c r="B35" t="s">
        <v>88</v>
      </c>
      <c r="C35" s="2">
        <v>45675</v>
      </c>
      <c r="D35" s="2"/>
      <c r="E35" t="s">
        <v>50</v>
      </c>
      <c r="F35" t="s">
        <v>51</v>
      </c>
      <c r="G35" s="2">
        <v>45266</v>
      </c>
      <c r="H35" s="3">
        <v>54546</v>
      </c>
      <c r="I35" t="s">
        <v>35</v>
      </c>
      <c r="J35" t="s">
        <v>77</v>
      </c>
      <c r="K35" t="s">
        <v>76</v>
      </c>
      <c r="L35" t="s">
        <v>35</v>
      </c>
    </row>
    <row r="36" spans="1:12" x14ac:dyDescent="0.2">
      <c r="A36" t="s">
        <v>20</v>
      </c>
      <c r="B36" t="s">
        <v>88</v>
      </c>
      <c r="C36" s="2">
        <v>45261</v>
      </c>
      <c r="D36" s="2">
        <v>45559</v>
      </c>
      <c r="E36" t="s">
        <v>50</v>
      </c>
      <c r="F36" t="s">
        <v>51</v>
      </c>
      <c r="G36" s="2">
        <v>44647</v>
      </c>
      <c r="H36" s="3">
        <v>162976</v>
      </c>
      <c r="I36" t="s">
        <v>38</v>
      </c>
      <c r="J36" t="s">
        <v>77</v>
      </c>
      <c r="K36" t="s">
        <v>76</v>
      </c>
      <c r="L36" t="s">
        <v>35</v>
      </c>
    </row>
    <row r="37" spans="1:12" x14ac:dyDescent="0.2">
      <c r="A37" t="s">
        <v>24</v>
      </c>
      <c r="B37" t="s">
        <v>95</v>
      </c>
      <c r="C37" s="2">
        <v>45508</v>
      </c>
      <c r="D37" s="2">
        <v>45871</v>
      </c>
      <c r="E37" t="s">
        <v>41</v>
      </c>
      <c r="F37" t="s">
        <v>47</v>
      </c>
      <c r="G37" s="2">
        <v>44876</v>
      </c>
      <c r="H37" s="3">
        <v>180136</v>
      </c>
      <c r="I37" t="s">
        <v>38</v>
      </c>
      <c r="J37" t="s">
        <v>73</v>
      </c>
      <c r="K37" t="s">
        <v>74</v>
      </c>
      <c r="L37" t="s">
        <v>48</v>
      </c>
    </row>
    <row r="38" spans="1:12" x14ac:dyDescent="0.2">
      <c r="A38" t="s">
        <v>25</v>
      </c>
      <c r="B38" t="s">
        <v>96</v>
      </c>
      <c r="C38" s="2">
        <v>45622</v>
      </c>
      <c r="D38" s="2">
        <v>45719</v>
      </c>
      <c r="E38" t="s">
        <v>41</v>
      </c>
      <c r="F38" t="s">
        <v>47</v>
      </c>
      <c r="G38" s="2">
        <v>44258</v>
      </c>
      <c r="H38" s="3">
        <v>141597</v>
      </c>
      <c r="I38" t="s">
        <v>48</v>
      </c>
      <c r="J38" t="s">
        <v>70</v>
      </c>
      <c r="K38" t="s">
        <v>71</v>
      </c>
      <c r="L38" t="s">
        <v>35</v>
      </c>
    </row>
    <row r="39" spans="1:12" x14ac:dyDescent="0.2">
      <c r="A39" t="s">
        <v>4</v>
      </c>
      <c r="B39" t="s">
        <v>96</v>
      </c>
      <c r="C39" s="2">
        <v>45641</v>
      </c>
      <c r="D39" s="2"/>
      <c r="E39" t="s">
        <v>50</v>
      </c>
      <c r="F39" t="s">
        <v>66</v>
      </c>
      <c r="G39" s="2">
        <v>45294</v>
      </c>
      <c r="H39" s="3">
        <v>64454</v>
      </c>
      <c r="I39" t="s">
        <v>35</v>
      </c>
      <c r="J39" t="s">
        <v>70</v>
      </c>
      <c r="K39" t="s">
        <v>71</v>
      </c>
      <c r="L39" t="s">
        <v>35</v>
      </c>
    </row>
    <row r="40" spans="1:12" x14ac:dyDescent="0.2">
      <c r="A40" t="s">
        <v>22</v>
      </c>
      <c r="B40" t="s">
        <v>96</v>
      </c>
      <c r="C40" s="2">
        <v>45880</v>
      </c>
      <c r="D40" s="2">
        <v>45881</v>
      </c>
      <c r="E40" t="s">
        <v>41</v>
      </c>
      <c r="F40" t="s">
        <v>42</v>
      </c>
      <c r="G40" s="2">
        <v>45782</v>
      </c>
      <c r="H40" s="3">
        <v>100788</v>
      </c>
      <c r="I40" t="s">
        <v>38</v>
      </c>
      <c r="J40" t="s">
        <v>70</v>
      </c>
      <c r="K40" t="s">
        <v>71</v>
      </c>
      <c r="L40" t="s">
        <v>35</v>
      </c>
    </row>
    <row r="41" spans="1:12" x14ac:dyDescent="0.2">
      <c r="A41" t="s">
        <v>26</v>
      </c>
      <c r="B41" t="s">
        <v>86</v>
      </c>
      <c r="C41" s="2">
        <v>45740</v>
      </c>
      <c r="D41" s="2">
        <v>45784</v>
      </c>
      <c r="E41" t="s">
        <v>50</v>
      </c>
      <c r="F41" t="s">
        <v>66</v>
      </c>
      <c r="G41" s="2">
        <v>44623</v>
      </c>
      <c r="H41" s="3">
        <v>121229</v>
      </c>
      <c r="I41" t="s">
        <v>35</v>
      </c>
      <c r="J41" t="s">
        <v>81</v>
      </c>
      <c r="K41" t="s">
        <v>82</v>
      </c>
      <c r="L41" t="s">
        <v>48</v>
      </c>
    </row>
    <row r="42" spans="1:12" x14ac:dyDescent="0.2">
      <c r="A42" t="s">
        <v>26</v>
      </c>
      <c r="B42" t="s">
        <v>93</v>
      </c>
      <c r="C42" s="2">
        <v>45741</v>
      </c>
      <c r="D42" s="2"/>
      <c r="E42" t="s">
        <v>50</v>
      </c>
      <c r="F42" t="s">
        <v>66</v>
      </c>
      <c r="G42" s="2">
        <v>44623</v>
      </c>
      <c r="H42" s="3">
        <v>121229</v>
      </c>
      <c r="I42" t="s">
        <v>35</v>
      </c>
      <c r="J42" t="s">
        <v>72</v>
      </c>
      <c r="K42" t="s">
        <v>71</v>
      </c>
      <c r="L42" t="s">
        <v>35</v>
      </c>
    </row>
    <row r="43" spans="1:12" x14ac:dyDescent="0.2">
      <c r="A43" t="s">
        <v>9</v>
      </c>
      <c r="B43" t="s">
        <v>89</v>
      </c>
      <c r="C43" s="2">
        <v>45899</v>
      </c>
      <c r="D43" s="2">
        <v>45925</v>
      </c>
      <c r="E43" t="s">
        <v>43</v>
      </c>
      <c r="F43" t="s">
        <v>44</v>
      </c>
      <c r="G43" s="2">
        <v>44503</v>
      </c>
      <c r="H43" s="3">
        <v>82323</v>
      </c>
      <c r="I43" t="s">
        <v>35</v>
      </c>
      <c r="J43" t="s">
        <v>83</v>
      </c>
      <c r="K43" t="s">
        <v>71</v>
      </c>
      <c r="L43" t="s">
        <v>48</v>
      </c>
    </row>
    <row r="44" spans="1:12" x14ac:dyDescent="0.2">
      <c r="A44" t="s">
        <v>7</v>
      </c>
      <c r="B44" t="s">
        <v>97</v>
      </c>
      <c r="C44" s="2">
        <v>45795</v>
      </c>
      <c r="D44" s="2">
        <v>45846</v>
      </c>
      <c r="E44" t="s">
        <v>43</v>
      </c>
      <c r="F44" t="s">
        <v>44</v>
      </c>
      <c r="G44" s="2">
        <v>45015</v>
      </c>
      <c r="H44" s="3">
        <v>150106</v>
      </c>
      <c r="I44" t="s">
        <v>35</v>
      </c>
      <c r="J44" t="s">
        <v>79</v>
      </c>
      <c r="K44" t="s">
        <v>71</v>
      </c>
      <c r="L44" t="s">
        <v>35</v>
      </c>
    </row>
    <row r="45" spans="1:12" x14ac:dyDescent="0.2">
      <c r="A45" t="s">
        <v>7</v>
      </c>
      <c r="B45" t="s">
        <v>89</v>
      </c>
      <c r="C45" s="2">
        <v>45808</v>
      </c>
      <c r="D45" s="2">
        <v>45932</v>
      </c>
      <c r="E45" t="s">
        <v>43</v>
      </c>
      <c r="F45" t="s">
        <v>44</v>
      </c>
      <c r="G45" s="2">
        <v>45015</v>
      </c>
      <c r="H45" s="3">
        <v>150106</v>
      </c>
      <c r="I45" t="s">
        <v>35</v>
      </c>
      <c r="J45" t="s">
        <v>83</v>
      </c>
      <c r="K45" t="s">
        <v>71</v>
      </c>
      <c r="L45" t="s">
        <v>48</v>
      </c>
    </row>
    <row r="46" spans="1:12" x14ac:dyDescent="0.2">
      <c r="A46" t="s">
        <v>8</v>
      </c>
      <c r="B46" t="s">
        <v>97</v>
      </c>
      <c r="C46" s="2">
        <v>45476</v>
      </c>
      <c r="D46" s="2"/>
      <c r="E46" t="s">
        <v>45</v>
      </c>
      <c r="F46" t="s">
        <v>46</v>
      </c>
      <c r="G46" s="2">
        <v>45292</v>
      </c>
      <c r="H46" s="3">
        <v>125796</v>
      </c>
      <c r="I46" t="s">
        <v>38</v>
      </c>
      <c r="J46" t="s">
        <v>79</v>
      </c>
      <c r="K46" t="s">
        <v>71</v>
      </c>
      <c r="L46" t="s">
        <v>35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4696AB-1EBB-1843-B85D-B26775652C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Ausleihen</vt:lpstr>
      <vt:lpstr>Geraete</vt:lpstr>
      <vt:lpstr>Mitarbeiter</vt:lpstr>
      <vt:lpstr>Tabelle3</vt:lpstr>
      <vt:lpstr>Gesamt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Maxeiner</dc:creator>
  <cp:lastModifiedBy>Joel Maxeiner</cp:lastModifiedBy>
  <dcterms:created xsi:type="dcterms:W3CDTF">2026-10-10T10:46:01Z</dcterms:created>
  <dcterms:modified xsi:type="dcterms:W3CDTF">2026-10-10T11:32:08Z</dcterms:modified>
</cp:coreProperties>
</file>