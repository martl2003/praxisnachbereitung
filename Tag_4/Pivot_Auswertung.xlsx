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lmaxeiner/Nextcloud/Dokumente/Studium/5_Semester/Praxisnachbereitung/praxisnachbereitung/Tag_4/"/>
    </mc:Choice>
  </mc:AlternateContent>
  <xr:revisionPtr revIDLastSave="0" documentId="8_{AA2D7C33-598A-C543-B30C-52BD5653265E}" xr6:coauthVersionLast="47" xr6:coauthVersionMax="47" xr10:uidLastSave="{00000000-0000-0000-0000-000000000000}"/>
  <bookViews>
    <workbookView xWindow="0" yWindow="660" windowWidth="30240" windowHeight="17840" xr2:uid="{EB8FC281-E668-AA4D-AD9D-8B5E30414B37}"/>
  </bookViews>
  <sheets>
    <sheet name="Tabelle2" sheetId="3" r:id="rId1"/>
    <sheet name="Ausleihen" sheetId="2" r:id="rId2"/>
    <sheet name="Tabelle1" sheetId="1" r:id="rId3"/>
  </sheets>
  <definedNames>
    <definedName name="ExterneDaten_1" localSheetId="1" hidden="1">Ausleihen!$A$1:$N$4</definedName>
  </definedNames>
  <calcPr calcId="181029"/>
  <pivotCaches>
    <pivotCache cacheId="1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2E7B80-BC01-B448-BEC4-77E79E75EC2F}" keepAlive="1" name="Abfrage - Ausleihen" description="Verbindung mit der Abfrage 'Ausleihen' in der Arbeitsmappe." type="5" refreshedVersion="8" background="1" saveData="1">
    <dbPr connection="Provider=Microsoft.Mashup.OleDb.1;Data Source=$Workbook$;Location=Ausleihen;Extended Properties=&quot;&quot;" command="SELECT * FROM [Ausleihen]"/>
  </connection>
</connections>
</file>

<file path=xl/sharedStrings.xml><?xml version="1.0" encoding="utf-8"?>
<sst xmlns="http://schemas.openxmlformats.org/spreadsheetml/2006/main" count="58" uniqueCount="43">
  <si>
    <t>assignment_id</t>
  </si>
  <si>
    <t>serial_number</t>
  </si>
  <si>
    <t>device_type</t>
  </si>
  <si>
    <t>location</t>
  </si>
  <si>
    <t>model</t>
  </si>
  <si>
    <t>purchase_price</t>
  </si>
  <si>
    <t>person_name</t>
  </si>
  <si>
    <t>department</t>
  </si>
  <si>
    <t>issued_date</t>
  </si>
  <si>
    <t>issued_time</t>
  </si>
  <si>
    <t>returned_date</t>
  </si>
  <si>
    <t>returned_time</t>
  </si>
  <si>
    <t>status</t>
  </si>
  <si>
    <t>duration_days</t>
  </si>
  <si>
    <t>SN-LAP-001</t>
  </si>
  <si>
    <t>Laptop</t>
  </si>
  <si>
    <t>Gebäude E</t>
  </si>
  <si>
    <t>ThinkPad T14 Gen 4</t>
  </si>
  <si>
    <t>Anna Koch</t>
  </si>
  <si>
    <t>IT</t>
  </si>
  <si>
    <t>zurückgegeben</t>
  </si>
  <si>
    <t>Ben König</t>
  </si>
  <si>
    <t>Logistik</t>
  </si>
  <si>
    <t>aktiv</t>
  </si>
  <si>
    <t>SN-SCN-001</t>
  </si>
  <si>
    <t>Handscanner</t>
  </si>
  <si>
    <t>Gebäude H</t>
  </si>
  <si>
    <t>Zebra DS2208</t>
  </si>
  <si>
    <t>Clara Meier</t>
  </si>
  <si>
    <t>Vertrieb</t>
  </si>
  <si>
    <t>Zeilenbeschriftungen</t>
  </si>
  <si>
    <t>Gesamtergebnis</t>
  </si>
  <si>
    <t>(Leer)</t>
  </si>
  <si>
    <t>Spaltenbeschriftungen</t>
  </si>
  <si>
    <t>01.10.26 Ergebnis</t>
  </si>
  <si>
    <t>15.10.26 Ergebnis</t>
  </si>
  <si>
    <t>18.10.26 Ergebnis</t>
  </si>
  <si>
    <t>10.10.26 Ergebnis</t>
  </si>
  <si>
    <t>(Leer) Ergebnis</t>
  </si>
  <si>
    <t>09:00:00 Ergebnis</t>
  </si>
  <si>
    <t>10:00:00 Ergebnis</t>
  </si>
  <si>
    <t>08:30:00 Ergebnis</t>
  </si>
  <si>
    <t>Summe von duration_days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</si>
</sst>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1" fontId="0" fillId="0" borderId="0" xfId="0" applyNumberFormat="1"/>
  </cellXfs>
  <cellStyles count="1">
    <cellStyle name="Standard" xfId="0" builtinId="0"/>
  </cellStyles>
  <dxfs count="11">
    <dxf>
      <numFmt numFmtId="0" formatCode="General"/>
    </dxf>
    <dxf>
      <numFmt numFmtId="164" formatCode="[$-F400]h:mm:ss\ AM/PM"/>
    </dxf>
    <dxf>
      <numFmt numFmtId="19" formatCode="dd/mm/yy"/>
    </dxf>
    <dxf>
      <numFmt numFmtId="164" formatCode="[$-F400]h:mm:ss\ AM/PM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[Pivot_Auswertung.xlsx]Tabelle2!PivotTable4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Tabelle2!$B$3:$B$7</c:f>
              <c:strCache>
                <c:ptCount val="1"/>
                <c:pt idx="0">
                  <c:v>01.10.26 - 09:00:00 - 10.10.26 - 16:30:00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Tabelle2!$A$8:$A$13</c:f>
              <c:multiLvlStrCache>
                <c:ptCount val="3"/>
                <c:lvl>
                  <c:pt idx="0">
                    <c:v>SN-LAP-001</c:v>
                  </c:pt>
                  <c:pt idx="1">
                    <c:v>SN-SCN-001</c:v>
                  </c:pt>
                  <c:pt idx="2">
                    <c:v>SN-LAP-001</c:v>
                  </c:pt>
                </c:lvl>
                <c:lvl>
                  <c:pt idx="0">
                    <c:v>aktiv</c:v>
                  </c:pt>
                  <c:pt idx="2">
                    <c:v>zurückgegeben</c:v>
                  </c:pt>
                </c:lvl>
              </c:multiLvlStrCache>
            </c:multiLvlStrRef>
          </c:cat>
          <c:val>
            <c:numRef>
              <c:f>Tabelle2!$B$8:$B$13</c:f>
              <c:numCache>
                <c:formatCode>General</c:formatCode>
                <c:ptCount val="3"/>
                <c:pt idx="2">
                  <c:v>9.3000000000000007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D2-B34E-AD9C-261EA03EDD97}"/>
            </c:ext>
          </c:extLst>
        </c:ser>
        <c:ser>
          <c:idx val="1"/>
          <c:order val="1"/>
          <c:tx>
            <c:strRef>
              <c:f>Tabelle2!$F$3:$F$7</c:f>
              <c:strCache>
                <c:ptCount val="1"/>
                <c:pt idx="0">
                  <c:v>15.10.26 - 10:00:00 - (Leer) - (Leer)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Tabelle2!$A$8:$A$13</c:f>
              <c:multiLvlStrCache>
                <c:ptCount val="3"/>
                <c:lvl>
                  <c:pt idx="0">
                    <c:v>SN-LAP-001</c:v>
                  </c:pt>
                  <c:pt idx="1">
                    <c:v>SN-SCN-001</c:v>
                  </c:pt>
                  <c:pt idx="2">
                    <c:v>SN-LAP-001</c:v>
                  </c:pt>
                </c:lvl>
                <c:lvl>
                  <c:pt idx="0">
                    <c:v>aktiv</c:v>
                  </c:pt>
                  <c:pt idx="2">
                    <c:v>zurückgegeben</c:v>
                  </c:pt>
                </c:lvl>
              </c:multiLvlStrCache>
            </c:multiLvlStrRef>
          </c:cat>
          <c:val>
            <c:numRef>
              <c:f>Tabelle2!$F$8:$F$13</c:f>
              <c:numCache>
                <c:formatCode>General</c:formatCode>
                <c:ptCount val="3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D2-B34E-AD9C-261EA03EDD97}"/>
            </c:ext>
          </c:extLst>
        </c:ser>
        <c:ser>
          <c:idx val="2"/>
          <c:order val="2"/>
          <c:tx>
            <c:strRef>
              <c:f>Tabelle2!$J$3:$J$7</c:f>
              <c:strCache>
                <c:ptCount val="1"/>
                <c:pt idx="0">
                  <c:v>18.10.26 - 08:30:00 - (Leer) - (Leer)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Tabelle2!$A$8:$A$13</c:f>
              <c:multiLvlStrCache>
                <c:ptCount val="3"/>
                <c:lvl>
                  <c:pt idx="0">
                    <c:v>SN-LAP-001</c:v>
                  </c:pt>
                  <c:pt idx="1">
                    <c:v>SN-SCN-001</c:v>
                  </c:pt>
                  <c:pt idx="2">
                    <c:v>SN-LAP-001</c:v>
                  </c:pt>
                </c:lvl>
                <c:lvl>
                  <c:pt idx="0">
                    <c:v>aktiv</c:v>
                  </c:pt>
                  <c:pt idx="2">
                    <c:v>zurückgegeben</c:v>
                  </c:pt>
                </c:lvl>
              </c:multiLvlStrCache>
            </c:multiLvlStrRef>
          </c:cat>
          <c:val>
            <c:numRef>
              <c:f>Tabelle2!$J$8:$J$13</c:f>
              <c:numCache>
                <c:formatCode>General</c:formatCode>
                <c:ptCount val="3"/>
                <c:pt idx="1">
                  <c:v>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D2-B34E-AD9C-261EA03ED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4901055"/>
        <c:axId val="1344678399"/>
      </c:barChart>
      <c:catAx>
        <c:axId val="134490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4678399"/>
        <c:crosses val="autoZero"/>
        <c:auto val="1"/>
        <c:lblAlgn val="ctr"/>
        <c:lblOffset val="100"/>
        <c:noMultiLvlLbl val="0"/>
      </c:catAx>
      <c:valAx>
        <c:axId val="134467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490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1117600</xdr:colOff>
      <xdr:row>15</xdr:row>
      <xdr:rowOff>146050</xdr:rowOff>
    </xdr:from>
    <xdr:to>
      <xdr:col>3</xdr:col>
      <xdr:colOff>1041400</xdr:colOff>
      <xdr:row>29</xdr:row>
      <xdr:rowOff>44450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DF1B60C-71D5-5187-04E5-06ED41DB3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320.402166898151" createdVersion="8" refreshedVersion="8" minRefreshableVersion="3" recordCount="3" xr:uid="{80662DD5-9EEA-D248-9778-BDE7BC51CE1B}">
  <cacheSource type="worksheet">
    <worksheetSource name="Ausleihen"/>
  </cacheSource>
  <cacheFields count="16">
    <cacheField name="assignment_id" numFmtId="0">
      <sharedItems containsSemiMixedTypes="0" containsString="0" containsNumber="1" containsInteger="1" minValue="1" maxValue="3"/>
    </cacheField>
    <cacheField name="serial_number" numFmtId="0">
      <sharedItems count="2">
        <s v="SN-LAP-001"/>
        <s v="SN-SCN-001"/>
      </sharedItems>
    </cacheField>
    <cacheField name="device_type" numFmtId="0">
      <sharedItems/>
    </cacheField>
    <cacheField name="location" numFmtId="0">
      <sharedItems/>
    </cacheField>
    <cacheField name="model" numFmtId="0">
      <sharedItems/>
    </cacheField>
    <cacheField name="purchase_price" numFmtId="0">
      <sharedItems containsSemiMixedTypes="0" containsString="0" containsNumber="1" containsInteger="1" minValue="189" maxValue="1299"/>
    </cacheField>
    <cacheField name="person_name" numFmtId="0">
      <sharedItems/>
    </cacheField>
    <cacheField name="department" numFmtId="0">
      <sharedItems/>
    </cacheField>
    <cacheField name="issued_date" numFmtId="14">
      <sharedItems containsSemiMixedTypes="0" containsNonDate="0" containsDate="1" containsString="0" minDate="2026-10-01T00:00:00" maxDate="2026-10-19T00:00:00" count="3">
        <d v="2026-10-01T00:00:00"/>
        <d v="2026-10-15T00:00:00"/>
        <d v="2026-10-18T00:00:00"/>
      </sharedItems>
    </cacheField>
    <cacheField name="issued_time" numFmtId="164">
      <sharedItems containsSemiMixedTypes="0" containsNonDate="0" containsDate="1" containsString="0" minDate="1899-12-30T08:30:00" maxDate="1899-12-30T10:00:00" count="3">
        <d v="1899-12-30T09:00:00"/>
        <d v="1899-12-30T10:00:00"/>
        <d v="1899-12-30T08:30:00"/>
      </sharedItems>
      <fieldGroup par="15"/>
    </cacheField>
    <cacheField name="returned_date" numFmtId="14">
      <sharedItems containsNonDate="0" containsDate="1" containsString="0" containsBlank="1" minDate="2026-10-10T00:00:00" maxDate="2026-10-11T00:00:00" count="2">
        <d v="2026-10-10T00:00:00"/>
        <m/>
      </sharedItems>
    </cacheField>
    <cacheField name="returned_time" numFmtId="164">
      <sharedItems containsNonDate="0" containsDate="1" containsString="0" containsBlank="1" minDate="1899-12-30T16:30:00" maxDate="1899-12-30T16:30:00" count="2">
        <d v="1899-12-30T16:30:00"/>
        <m/>
      </sharedItems>
    </cacheField>
    <cacheField name="status" numFmtId="0">
      <sharedItems count="2">
        <s v="zurückgegeben"/>
        <s v="aktiv"/>
      </sharedItems>
    </cacheField>
    <cacheField name="duration_days" numFmtId="0">
      <sharedItems containsSemiMixedTypes="0" containsString="0" containsNumber="1" minValue="7.1" maxValue="10"/>
    </cacheField>
    <cacheField name="Minuten (issued_time)" numFmtId="0" databaseField="0">
      <fieldGroup base="9">
        <rangePr groupBy="minutes" startDate="1899-12-30T08:30:00" endDate="1899-12-30T10:00:00"/>
        <groupItems count="62">
          <s v="&lt;00.01.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.01.00"/>
        </groupItems>
      </fieldGroup>
    </cacheField>
    <cacheField name="Stunden (issued_time)" numFmtId="0" databaseField="0">
      <fieldGroup base="9">
        <rangePr groupBy="hours" startDate="1899-12-30T08:30:00" endDate="1899-12-30T10:00:00"/>
        <groupItems count="26">
          <s v="&lt;00.01.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.01.00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"/>
    <x v="0"/>
    <s v="Laptop"/>
    <s v="Gebäude E"/>
    <s v="ThinkPad T14 Gen 4"/>
    <n v="1299"/>
    <s v="Anna Koch"/>
    <s v="IT"/>
    <x v="0"/>
    <x v="0"/>
    <x v="0"/>
    <x v="0"/>
    <x v="0"/>
    <n v="9.3000000000000007"/>
  </r>
  <r>
    <n v="1"/>
    <x v="0"/>
    <s v="Laptop"/>
    <s v="Gebäude E"/>
    <s v="ThinkPad T14 Gen 4"/>
    <n v="1299"/>
    <s v="Ben König"/>
    <s v="Logistik"/>
    <x v="1"/>
    <x v="1"/>
    <x v="1"/>
    <x v="1"/>
    <x v="1"/>
    <n v="10"/>
  </r>
  <r>
    <n v="3"/>
    <x v="1"/>
    <s v="Handscanner"/>
    <s v="Gebäude H"/>
    <s v="Zebra DS2208"/>
    <n v="189"/>
    <s v="Clara Meier"/>
    <s v="Vertrieb"/>
    <x v="2"/>
    <x v="2"/>
    <x v="1"/>
    <x v="1"/>
    <x v="1"/>
    <n v="7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AEF318-0FBE-1943-9772-3DA5090317D9}" name="PivotTable4" cacheId="17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1">
  <location ref="A3:N13" firstHeaderRow="1" firstDataRow="5" firstDataCol="1"/>
  <pivotFields count="16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numFmtId="14" showAll="0">
      <items count="4">
        <item x="0"/>
        <item x="1"/>
        <item x="2"/>
        <item t="default"/>
      </items>
    </pivotField>
    <pivotField axis="axisCol" numFmtId="164" showAll="0">
      <items count="4">
        <item x="2"/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12"/>
    <field x="1"/>
  </rowFields>
  <rowItems count="6">
    <i>
      <x/>
    </i>
    <i r="1">
      <x/>
    </i>
    <i r="1">
      <x v="1"/>
    </i>
    <i>
      <x v="1"/>
    </i>
    <i r="1">
      <x/>
    </i>
    <i t="grand">
      <x/>
    </i>
  </rowItems>
  <colFields count="4">
    <field x="8"/>
    <field x="9"/>
    <field x="10"/>
    <field x="11"/>
  </colFields>
  <colItems count="13">
    <i>
      <x/>
      <x v="1"/>
      <x/>
      <x/>
    </i>
    <i t="default" r="2">
      <x/>
    </i>
    <i t="default" r="1">
      <x v="1"/>
    </i>
    <i t="default">
      <x/>
    </i>
    <i>
      <x v="1"/>
      <x v="2"/>
      <x v="1"/>
      <x v="1"/>
    </i>
    <i t="default" r="2">
      <x v="1"/>
    </i>
    <i t="default" r="1">
      <x v="2"/>
    </i>
    <i t="default">
      <x v="1"/>
    </i>
    <i>
      <x v="2"/>
      <x/>
      <x v="1"/>
      <x v="1"/>
    </i>
    <i t="default" r="2">
      <x v="1"/>
    </i>
    <i t="default" r="1">
      <x/>
    </i>
    <i t="default">
      <x v="2"/>
    </i>
    <i t="grand">
      <x/>
    </i>
  </colItems>
  <dataFields count="1">
    <dataField name="Summe von duration_days" fld="13" baseField="0" baseItem="0"/>
  </dataFields>
  <chartFormats count="3">
    <chartFormat chart="0" format="0" series="1">
      <pivotArea type="data" outline="0" fieldPosition="0">
        <references count="4">
          <reference field="8" count="1" selected="0">
            <x v="0"/>
          </reference>
          <reference field="9" count="1" selected="0">
            <x v="1"/>
          </reference>
          <reference field="10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4">
          <reference field="8" count="1" selected="0">
            <x v="1"/>
          </reference>
          <reference field="9" count="1" selected="0">
            <x v="2"/>
          </reference>
          <reference field="10" count="1" selected="0">
            <x v="1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4">
          <reference field="8" count="1" selected="0">
            <x v="2"/>
          </reference>
          <reference field="9" count="1" selected="0">
            <x v="0"/>
          </reference>
          <reference field="10" count="1" selected="0">
            <x v="1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5D9DF658-430A-7649-A66C-6986843CD48D}" autoFormatId="16" applyNumberFormats="0" applyBorderFormats="0" applyFontFormats="0" applyPatternFormats="0" applyAlignmentFormats="0" applyWidthHeightFormats="0">
  <queryTableRefresh nextId="15">
    <queryTableFields count="14">
      <queryTableField id="1" name="assignment_id" tableColumnId="1"/>
      <queryTableField id="2" name="serial_number" tableColumnId="2"/>
      <queryTableField id="3" name="device_type" tableColumnId="3"/>
      <queryTableField id="4" name="location" tableColumnId="4"/>
      <queryTableField id="5" name="model" tableColumnId="5"/>
      <queryTableField id="6" name="purchase_price" tableColumnId="6"/>
      <queryTableField id="7" name="person_name" tableColumnId="7"/>
      <queryTableField id="8" name="department" tableColumnId="8"/>
      <queryTableField id="9" name="issued_date" tableColumnId="9"/>
      <queryTableField id="10" name="issued_time" tableColumnId="10"/>
      <queryTableField id="11" name="returned_date" tableColumnId="11"/>
      <queryTableField id="12" name="returned_time" tableColumnId="12"/>
      <queryTableField id="13" name="status" tableColumnId="13"/>
      <queryTableField id="14" name="duration_day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CE34FE-A5E7-904C-986C-97CEDD0DDB8F}" name="Ausleihen" displayName="Ausleihen" ref="A1:N4" tableType="queryTable" totalsRowShown="0">
  <autoFilter ref="A1:N4" xr:uid="{70CE34FE-A5E7-904C-986C-97CEDD0DDB8F}"/>
  <tableColumns count="14">
    <tableColumn id="1" xr3:uid="{99F5C74F-9C8A-3E43-B55C-7F14570C09A1}" uniqueName="1" name="assignment_id" queryTableFieldId="1"/>
    <tableColumn id="2" xr3:uid="{9D46A270-FDEF-2240-9C5A-DE0ED352773F}" uniqueName="2" name="serial_number" queryTableFieldId="2" dataDxfId="10"/>
    <tableColumn id="3" xr3:uid="{F75F3AEC-2616-4E46-8ADC-96EE8F7DA961}" uniqueName="3" name="device_type" queryTableFieldId="3" dataDxfId="9"/>
    <tableColumn id="4" xr3:uid="{B6CB58AA-0911-FD4B-9252-E81645D51075}" uniqueName="4" name="location" queryTableFieldId="4" dataDxfId="8"/>
    <tableColumn id="5" xr3:uid="{3B20C13E-5B25-7644-A42E-CEB001A36A52}" uniqueName="5" name="model" queryTableFieldId="5" dataDxfId="7"/>
    <tableColumn id="6" xr3:uid="{BBDD0919-F110-D247-B849-94E9031CCB9D}" uniqueName="6" name="purchase_price" queryTableFieldId="6"/>
    <tableColumn id="7" xr3:uid="{638DB95A-635A-0141-BEC9-3553BA0566E2}" uniqueName="7" name="person_name" queryTableFieldId="7" dataDxfId="6"/>
    <tableColumn id="8" xr3:uid="{F57C7B33-0DBB-0041-B1F6-A77DF99250D4}" uniqueName="8" name="department" queryTableFieldId="8" dataDxfId="5"/>
    <tableColumn id="9" xr3:uid="{8B9CC5DD-B026-E44A-B871-00BABF91ACF0}" uniqueName="9" name="issued_date" queryTableFieldId="9" dataDxfId="4"/>
    <tableColumn id="10" xr3:uid="{808C7950-1973-9C48-8B3F-357E4BD29CDA}" uniqueName="10" name="issued_time" queryTableFieldId="10" dataDxfId="3"/>
    <tableColumn id="11" xr3:uid="{8DC3EE9B-0527-3E4E-82D4-F86DBB3C1A4F}" uniqueName="11" name="returned_date" queryTableFieldId="11" dataDxfId="2"/>
    <tableColumn id="12" xr3:uid="{B1681945-7EE6-C341-A87A-3F099C288363}" uniqueName="12" name="returned_time" queryTableFieldId="12" dataDxfId="1"/>
    <tableColumn id="13" xr3:uid="{B26000A7-674A-CD49-9619-E3BFC6A77368}" uniqueName="13" name="status" queryTableFieldId="13" dataDxfId="0"/>
    <tableColumn id="14" xr3:uid="{B4CA7161-F287-9D44-A46C-F36951427EA8}" uniqueName="14" name="duration_days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46A8-B318-7348-8C4F-74B7CF6C419E}">
  <dimension ref="A3:N13"/>
  <sheetViews>
    <sheetView tabSelected="1" workbookViewId="0">
      <selection activeCell="G25" sqref="G25"/>
    </sheetView>
  </sheetViews>
  <sheetFormatPr baseColWidth="10" defaultRowHeight="16" x14ac:dyDescent="0.2"/>
  <cols>
    <col min="1" max="1" width="22.83203125" bestFit="1" customWidth="1"/>
    <col min="2" max="2" width="22.5" bestFit="1" customWidth="1"/>
    <col min="3" max="5" width="15.6640625" bestFit="1" customWidth="1"/>
    <col min="6" max="6" width="10.1640625" bestFit="1" customWidth="1"/>
    <col min="7" max="7" width="13.6640625" bestFit="1" customWidth="1"/>
    <col min="8" max="9" width="15.6640625" bestFit="1" customWidth="1"/>
    <col min="10" max="10" width="10.1640625" bestFit="1" customWidth="1"/>
    <col min="11" max="11" width="13.6640625" bestFit="1" customWidth="1"/>
    <col min="12" max="13" width="15.6640625" bestFit="1" customWidth="1"/>
    <col min="14" max="14" width="15" bestFit="1" customWidth="1"/>
    <col min="15" max="16" width="15.6640625" bestFit="1" customWidth="1"/>
    <col min="17" max="17" width="15" bestFit="1" customWidth="1"/>
  </cols>
  <sheetData>
    <row r="3" spans="1:14" x14ac:dyDescent="0.2">
      <c r="A3" s="4" t="s">
        <v>42</v>
      </c>
      <c r="B3" s="4" t="s">
        <v>33</v>
      </c>
    </row>
    <row r="4" spans="1:14" x14ac:dyDescent="0.2">
      <c r="B4" s="2">
        <v>46296</v>
      </c>
      <c r="E4" s="2" t="s">
        <v>34</v>
      </c>
      <c r="F4" s="2">
        <v>46310</v>
      </c>
      <c r="I4" s="2" t="s">
        <v>35</v>
      </c>
      <c r="J4" s="2">
        <v>46313</v>
      </c>
      <c r="M4" s="2" t="s">
        <v>36</v>
      </c>
      <c r="N4" s="2" t="s">
        <v>31</v>
      </c>
    </row>
    <row r="5" spans="1:14" x14ac:dyDescent="0.2">
      <c r="B5" s="3">
        <v>0.375</v>
      </c>
      <c r="D5" s="3" t="s">
        <v>39</v>
      </c>
      <c r="F5" s="3">
        <v>0.41666666666666669</v>
      </c>
      <c r="H5" s="3" t="s">
        <v>40</v>
      </c>
      <c r="J5" s="3">
        <v>0.35416666666666669</v>
      </c>
      <c r="L5" s="3" t="s">
        <v>41</v>
      </c>
    </row>
    <row r="6" spans="1:14" x14ac:dyDescent="0.2">
      <c r="B6" s="2">
        <v>46305</v>
      </c>
      <c r="C6" t="s">
        <v>37</v>
      </c>
      <c r="F6" t="s">
        <v>32</v>
      </c>
      <c r="G6" t="s">
        <v>38</v>
      </c>
      <c r="J6" t="s">
        <v>32</v>
      </c>
      <c r="K6" t="s">
        <v>38</v>
      </c>
    </row>
    <row r="7" spans="1:14" x14ac:dyDescent="0.2">
      <c r="A7" s="4" t="s">
        <v>30</v>
      </c>
      <c r="B7" s="7">
        <v>0.6875</v>
      </c>
      <c r="F7" t="s">
        <v>32</v>
      </c>
      <c r="J7" t="s">
        <v>32</v>
      </c>
    </row>
    <row r="8" spans="1:14" x14ac:dyDescent="0.2">
      <c r="A8" s="5" t="s">
        <v>23</v>
      </c>
      <c r="B8" s="1"/>
      <c r="C8" s="1"/>
      <c r="D8" s="1"/>
      <c r="E8" s="1"/>
      <c r="F8" s="1">
        <v>10</v>
      </c>
      <c r="G8" s="1">
        <v>10</v>
      </c>
      <c r="H8" s="1">
        <v>10</v>
      </c>
      <c r="I8" s="1">
        <v>10</v>
      </c>
      <c r="J8" s="1">
        <v>7.1</v>
      </c>
      <c r="K8" s="1">
        <v>7.1</v>
      </c>
      <c r="L8" s="1">
        <v>7.1</v>
      </c>
      <c r="M8" s="1">
        <v>7.1</v>
      </c>
      <c r="N8" s="1">
        <v>17.100000000000001</v>
      </c>
    </row>
    <row r="9" spans="1:14" x14ac:dyDescent="0.2">
      <c r="A9" s="6" t="s">
        <v>14</v>
      </c>
      <c r="B9" s="1"/>
      <c r="C9" s="1"/>
      <c r="D9" s="1"/>
      <c r="E9" s="1"/>
      <c r="F9" s="1">
        <v>10</v>
      </c>
      <c r="G9" s="1">
        <v>10</v>
      </c>
      <c r="H9" s="1">
        <v>10</v>
      </c>
      <c r="I9" s="1">
        <v>10</v>
      </c>
      <c r="J9" s="1"/>
      <c r="K9" s="1"/>
      <c r="L9" s="1"/>
      <c r="M9" s="1"/>
      <c r="N9" s="1">
        <v>10</v>
      </c>
    </row>
    <row r="10" spans="1:14" x14ac:dyDescent="0.2">
      <c r="A10" s="6" t="s">
        <v>24</v>
      </c>
      <c r="B10" s="1"/>
      <c r="C10" s="1"/>
      <c r="D10" s="1"/>
      <c r="E10" s="1"/>
      <c r="F10" s="1"/>
      <c r="G10" s="1"/>
      <c r="H10" s="1"/>
      <c r="I10" s="1"/>
      <c r="J10" s="1">
        <v>7.1</v>
      </c>
      <c r="K10" s="1">
        <v>7.1</v>
      </c>
      <c r="L10" s="1">
        <v>7.1</v>
      </c>
      <c r="M10" s="1">
        <v>7.1</v>
      </c>
      <c r="N10" s="1">
        <v>7.1</v>
      </c>
    </row>
    <row r="11" spans="1:14" x14ac:dyDescent="0.2">
      <c r="A11" s="5" t="s">
        <v>20</v>
      </c>
      <c r="B11" s="1">
        <v>9.3000000000000007</v>
      </c>
      <c r="C11" s="1">
        <v>9.3000000000000007</v>
      </c>
      <c r="D11" s="1">
        <v>9.3000000000000007</v>
      </c>
      <c r="E11" s="1">
        <v>9.3000000000000007</v>
      </c>
      <c r="F11" s="1"/>
      <c r="G11" s="1"/>
      <c r="H11" s="1"/>
      <c r="I11" s="1"/>
      <c r="J11" s="1"/>
      <c r="K11" s="1"/>
      <c r="L11" s="1"/>
      <c r="M11" s="1"/>
      <c r="N11" s="1">
        <v>9.3000000000000007</v>
      </c>
    </row>
    <row r="12" spans="1:14" x14ac:dyDescent="0.2">
      <c r="A12" s="6" t="s">
        <v>14</v>
      </c>
      <c r="B12" s="1">
        <v>9.3000000000000007</v>
      </c>
      <c r="C12" s="1">
        <v>9.3000000000000007</v>
      </c>
      <c r="D12" s="1">
        <v>9.3000000000000007</v>
      </c>
      <c r="E12" s="1">
        <v>9.3000000000000007</v>
      </c>
      <c r="F12" s="1"/>
      <c r="G12" s="1"/>
      <c r="H12" s="1"/>
      <c r="I12" s="1"/>
      <c r="J12" s="1"/>
      <c r="K12" s="1"/>
      <c r="L12" s="1"/>
      <c r="M12" s="1"/>
      <c r="N12" s="1">
        <v>9.3000000000000007</v>
      </c>
    </row>
    <row r="13" spans="1:14" x14ac:dyDescent="0.2">
      <c r="A13" s="5" t="s">
        <v>31</v>
      </c>
      <c r="B13" s="1">
        <v>9.3000000000000007</v>
      </c>
      <c r="C13" s="1">
        <v>9.3000000000000007</v>
      </c>
      <c r="D13" s="1">
        <v>9.3000000000000007</v>
      </c>
      <c r="E13" s="1">
        <v>9.3000000000000007</v>
      </c>
      <c r="F13" s="1">
        <v>10</v>
      </c>
      <c r="G13" s="1">
        <v>10</v>
      </c>
      <c r="H13" s="1">
        <v>10</v>
      </c>
      <c r="I13" s="1">
        <v>10</v>
      </c>
      <c r="J13" s="1">
        <v>7.1</v>
      </c>
      <c r="K13" s="1">
        <v>7.1</v>
      </c>
      <c r="L13" s="1">
        <v>7.1</v>
      </c>
      <c r="M13" s="1">
        <v>7.1</v>
      </c>
      <c r="N13" s="1">
        <v>26.400000000000002</v>
      </c>
    </row>
  </sheetData>
  <pageMargins left="0.7" right="0.7" top="0.78740157499999996" bottom="0.78740157499999996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B1D2-F749-FC4E-8D24-14E7942D4E19}">
  <dimension ref="A1:N4"/>
  <sheetViews>
    <sheetView workbookViewId="0">
      <selection sqref="A1:N4"/>
    </sheetView>
  </sheetViews>
  <sheetFormatPr baseColWidth="10" defaultRowHeight="16" x14ac:dyDescent="0.2"/>
  <cols>
    <col min="1" max="1" width="15.83203125" bestFit="1" customWidth="1"/>
    <col min="2" max="2" width="15.5" bestFit="1" customWidth="1"/>
    <col min="3" max="3" width="13.33203125" bestFit="1" customWidth="1"/>
    <col min="4" max="4" width="10.33203125" bestFit="1" customWidth="1"/>
    <col min="5" max="5" width="16.6640625" bestFit="1" customWidth="1"/>
    <col min="6" max="6" width="16.33203125" bestFit="1" customWidth="1"/>
    <col min="7" max="7" width="14.83203125" bestFit="1" customWidth="1"/>
    <col min="8" max="8" width="13.33203125" bestFit="1" customWidth="1"/>
    <col min="9" max="9" width="13.6640625" bestFit="1" customWidth="1"/>
    <col min="10" max="10" width="13.83203125" bestFit="1" customWidth="1"/>
    <col min="11" max="11" width="15.1640625" bestFit="1" customWidth="1"/>
    <col min="12" max="12" width="15.33203125" bestFit="1" customWidth="1"/>
    <col min="13" max="13" width="13.1640625" bestFit="1" customWidth="1"/>
    <col min="14" max="14" width="15.1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2</v>
      </c>
      <c r="B2" s="1" t="s">
        <v>14</v>
      </c>
      <c r="C2" s="1" t="s">
        <v>15</v>
      </c>
      <c r="D2" s="1" t="s">
        <v>16</v>
      </c>
      <c r="E2" s="1" t="s">
        <v>17</v>
      </c>
      <c r="F2">
        <v>1299</v>
      </c>
      <c r="G2" s="1" t="s">
        <v>18</v>
      </c>
      <c r="H2" s="1" t="s">
        <v>19</v>
      </c>
      <c r="I2" s="2">
        <v>46296</v>
      </c>
      <c r="J2" s="3">
        <v>0.375</v>
      </c>
      <c r="K2" s="2">
        <v>46305</v>
      </c>
      <c r="L2" s="3">
        <v>0.6875</v>
      </c>
      <c r="M2" s="1" t="s">
        <v>20</v>
      </c>
      <c r="N2">
        <v>9.3000000000000007</v>
      </c>
    </row>
    <row r="3" spans="1:14" x14ac:dyDescent="0.2">
      <c r="A3">
        <v>1</v>
      </c>
      <c r="B3" s="1" t="s">
        <v>14</v>
      </c>
      <c r="C3" s="1" t="s">
        <v>15</v>
      </c>
      <c r="D3" s="1" t="s">
        <v>16</v>
      </c>
      <c r="E3" s="1" t="s">
        <v>17</v>
      </c>
      <c r="F3">
        <v>1299</v>
      </c>
      <c r="G3" s="1" t="s">
        <v>21</v>
      </c>
      <c r="H3" s="1" t="s">
        <v>22</v>
      </c>
      <c r="I3" s="2">
        <v>46310</v>
      </c>
      <c r="J3" s="3">
        <v>0.41666666666666669</v>
      </c>
      <c r="K3" s="2"/>
      <c r="L3" s="3"/>
      <c r="M3" s="1" t="s">
        <v>23</v>
      </c>
      <c r="N3">
        <v>10</v>
      </c>
    </row>
    <row r="4" spans="1:14" x14ac:dyDescent="0.2">
      <c r="A4">
        <v>3</v>
      </c>
      <c r="B4" s="1" t="s">
        <v>24</v>
      </c>
      <c r="C4" s="1" t="s">
        <v>25</v>
      </c>
      <c r="D4" s="1" t="s">
        <v>26</v>
      </c>
      <c r="E4" s="1" t="s">
        <v>27</v>
      </c>
      <c r="F4">
        <v>189</v>
      </c>
      <c r="G4" s="1" t="s">
        <v>28</v>
      </c>
      <c r="H4" s="1" t="s">
        <v>29</v>
      </c>
      <c r="I4" s="2">
        <v>46313</v>
      </c>
      <c r="J4" s="3">
        <v>0.35416666666666669</v>
      </c>
      <c r="K4" s="2"/>
      <c r="L4" s="3"/>
      <c r="M4" s="1" t="s">
        <v>23</v>
      </c>
      <c r="N4">
        <v>7.1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8046E-678B-334D-BE0B-7B097AAF0D66}">
  <dimension ref="A1"/>
  <sheetViews>
    <sheetView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3BFB59-085E-2442-99F8-43C4455763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Tabelle2</vt:lpstr>
      <vt:lpstr>Ausleihen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Maxeiner</dc:creator>
  <cp:lastModifiedBy>Joel Maxeiner</cp:lastModifiedBy>
  <dcterms:created xsi:type="dcterms:W3CDTF">2026-10-25T08:37:23Z</dcterms:created>
  <dcterms:modified xsi:type="dcterms:W3CDTF">2026-10-25T08:42:20Z</dcterms:modified>
</cp:coreProperties>
</file>